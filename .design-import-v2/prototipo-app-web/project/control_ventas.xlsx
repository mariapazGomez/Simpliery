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📦 Productos" sheetId="1" state="visible" r:id="rId3"/>
    <sheet name="🛒 Ventas del Día" sheetId="2" state="visible" r:id="rId4"/>
    <sheet name="📊 Resumen Mensual" sheetId="3" state="visible" r:id="rId5"/>
    <sheet name="📦 Inventario" sheetId="4" state="visible" r:id="rId6"/>
    <sheet name="📈 Dashboard" sheetId="5" state="visible" r:id="rId7"/>
    <sheet name="📋 Instrucciones" sheetId="6" state="visible" r:id="rId8"/>
    <sheet name="_Listas" sheetId="7" state="hidden" r:id="rId9"/>
  </sheets>
  <definedNames>
    <definedName function="false" hidden="false" name="Aceitunas" vbProcedure="false">_Listas!$A$2:$A$10</definedName>
    <definedName function="false" hidden="false" name="Embutidos" vbProcedure="false">_Listas!$B$2:$B$7</definedName>
    <definedName function="false" hidden="false" name="Frutos_Secos" vbProcedure="false">_Listas!$C$2:$C$25</definedName>
    <definedName function="false" hidden="false" name="Huevos" vbProcedure="false">_Listas!$D$2:$D$18</definedName>
    <definedName function="false" hidden="false" name="Mantequillas" vbProcedure="false">_Listas!$E$2:$E$4</definedName>
    <definedName function="false" hidden="false" name="Mermeladas" vbProcedure="false">_Listas!$F$2:$F$8</definedName>
    <definedName function="false" hidden="false" name="QuesoCabra" vbProcedure="false">_Listas!$G$2:$G$7</definedName>
    <definedName function="false" hidden="false" name="Quesos" vbProcedure="false">_Listas!$H$2:$H$10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<sst xmlns="http://schemas.openxmlformats.org/spreadsheetml/2006/main" count="736" uniqueCount="239">
  <si>
    <t xml:space="preserve">🏪  CATÁLOGO DE PRODUCTOS</t>
  </si>
  <si>
    <t xml:space="preserve">Ingresa aquí todos tus productos con costos y precios. El margen se calcula automáticamente.</t>
  </si>
  <si>
    <t xml:space="preserve">#</t>
  </si>
  <si>
    <t xml:space="preserve">Producto</t>
  </si>
  <si>
    <t xml:space="preserve">Categoría</t>
  </si>
  <si>
    <t xml:space="preserve">Unidad</t>
  </si>
  <si>
    <t xml:space="preserve">Costo ($)</t>
  </si>
  <si>
    <t xml:space="preserve">Precio Venta ($)</t>
  </si>
  <si>
    <t xml:space="preserve">Margen ($)</t>
  </si>
  <si>
    <t xml:space="preserve">Margen (%)</t>
  </si>
  <si>
    <t xml:space="preserve">(1kg) Aceituna Natural </t>
  </si>
  <si>
    <t xml:space="preserve">Aceitunas</t>
  </si>
  <si>
    <t xml:space="preserve">1kg</t>
  </si>
  <si>
    <t xml:space="preserve">(250g) Aceituna Amarga </t>
  </si>
  <si>
    <t xml:space="preserve">250g</t>
  </si>
  <si>
    <t xml:space="preserve">(250g) Aceituna Natural </t>
  </si>
  <si>
    <t xml:space="preserve">(250g) Aceituna rellena</t>
  </si>
  <si>
    <t xml:space="preserve">(250g) Pickle </t>
  </si>
  <si>
    <t xml:space="preserve">(500g) Aceituna Amarga</t>
  </si>
  <si>
    <t xml:space="preserve">500g</t>
  </si>
  <si>
    <t xml:space="preserve">(500g) Aceituna Natural </t>
  </si>
  <si>
    <t xml:space="preserve">(500g) Aceituna Rellena </t>
  </si>
  <si>
    <t xml:space="preserve">(500g) Pickle </t>
  </si>
  <si>
    <t xml:space="preserve">Chorizo Parrilero 1/2 kg</t>
  </si>
  <si>
    <t xml:space="preserve">Embutidos</t>
  </si>
  <si>
    <t xml:space="preserve">1/2 kg</t>
  </si>
  <si>
    <t xml:space="preserve">Chorizo Parrilero 1kg</t>
  </si>
  <si>
    <t xml:space="preserve">Longaniza Ahumada 1/2 kg</t>
  </si>
  <si>
    <t xml:space="preserve">Longaniza Ahumada 1kg</t>
  </si>
  <si>
    <t xml:space="preserve">Longaniza Tradicional 1/2 kg</t>
  </si>
  <si>
    <t xml:space="preserve">Longaniza Tradicional 1kg</t>
  </si>
  <si>
    <t xml:space="preserve">Almendras 100g</t>
  </si>
  <si>
    <t xml:space="preserve">Frutos Secos</t>
  </si>
  <si>
    <t xml:space="preserve">100g</t>
  </si>
  <si>
    <t xml:space="preserve">Almendras 1kg</t>
  </si>
  <si>
    <t xml:space="preserve">Almendras 250g</t>
  </si>
  <si>
    <t xml:space="preserve">Almendras 500g</t>
  </si>
  <si>
    <t xml:space="preserve">Castaña de Cajú 100g</t>
  </si>
  <si>
    <t xml:space="preserve">Castaña de Cajú 1kg</t>
  </si>
  <si>
    <t xml:space="preserve">Castaña de Cajú 250g</t>
  </si>
  <si>
    <t xml:space="preserve">Castaña de Cajú 500g</t>
  </si>
  <si>
    <t xml:space="preserve">Maní sin Sal 100g</t>
  </si>
  <si>
    <t xml:space="preserve">Maní sin Sal 1kg</t>
  </si>
  <si>
    <t xml:space="preserve">Maní sin Sal 250g</t>
  </si>
  <si>
    <t xml:space="preserve">Maní sin Sal 500g</t>
  </si>
  <si>
    <t xml:space="preserve">Mix Regodión 100g</t>
  </si>
  <si>
    <t xml:space="preserve">Mix Regodión 1kg</t>
  </si>
  <si>
    <t xml:space="preserve">Mix Regodión 250g</t>
  </si>
  <si>
    <t xml:space="preserve">Mix Regodión 500g</t>
  </si>
  <si>
    <t xml:space="preserve">Nueces 100g</t>
  </si>
  <si>
    <t xml:space="preserve">Nueces 1kg</t>
  </si>
  <si>
    <t xml:space="preserve">Nueces 250g</t>
  </si>
  <si>
    <t xml:space="preserve">Nueces 500g</t>
  </si>
  <si>
    <t xml:space="preserve">Semilla de Zapallo 100g</t>
  </si>
  <si>
    <t xml:space="preserve">Semilla de Zapallo 1kg</t>
  </si>
  <si>
    <t xml:space="preserve">Semilla de Zapallo 250g</t>
  </si>
  <si>
    <t xml:space="preserve">Semilla de Zapallo 500g</t>
  </si>
  <si>
    <t xml:space="preserve">Huevo Extra 12u</t>
  </si>
  <si>
    <t xml:space="preserve">Huevos</t>
  </si>
  <si>
    <t xml:space="preserve">x12</t>
  </si>
  <si>
    <t xml:space="preserve">Huevo Extra 15u</t>
  </si>
  <si>
    <t xml:space="preserve">x15</t>
  </si>
  <si>
    <t xml:space="preserve">Huevo Extra 180u</t>
  </si>
  <si>
    <t xml:space="preserve">x180</t>
  </si>
  <si>
    <t xml:space="preserve">Huevo Extra 30u</t>
  </si>
  <si>
    <t xml:space="preserve">x30</t>
  </si>
  <si>
    <t xml:space="preserve">Huevo Extra 6u</t>
  </si>
  <si>
    <t xml:space="preserve">x6</t>
  </si>
  <si>
    <t xml:space="preserve">Huevo Jumbo 100u</t>
  </si>
  <si>
    <t xml:space="preserve">x100</t>
  </si>
  <si>
    <t xml:space="preserve">Huevo Jumbo 20u</t>
  </si>
  <si>
    <t xml:space="preserve">x20</t>
  </si>
  <si>
    <t xml:space="preserve">Huevo Primera 12u</t>
  </si>
  <si>
    <t xml:space="preserve">Huevo Primera 15u</t>
  </si>
  <si>
    <t xml:space="preserve">Huevo Primera 180u</t>
  </si>
  <si>
    <t xml:space="preserve">Huevo Primera 30u</t>
  </si>
  <si>
    <t xml:space="preserve">Huevo Primera 6u</t>
  </si>
  <si>
    <t xml:space="preserve">Huevo Super 12u</t>
  </si>
  <si>
    <t xml:space="preserve">Huevo Super 15u</t>
  </si>
  <si>
    <t xml:space="preserve">Huevo Super 180u</t>
  </si>
  <si>
    <t xml:space="preserve">Huevo Super 30u</t>
  </si>
  <si>
    <t xml:space="preserve">Huevo Super 6u</t>
  </si>
  <si>
    <t xml:space="preserve">Mantequilla Futurocoop</t>
  </si>
  <si>
    <t xml:space="preserve">Mantequillas</t>
  </si>
  <si>
    <t xml:space="preserve">Mantequilla Lanalhue</t>
  </si>
  <si>
    <t xml:space="preserve">Mantequilla Rumay</t>
  </si>
  <si>
    <t xml:space="preserve">0% Frutos del bosque </t>
  </si>
  <si>
    <t xml:space="preserve">Mermeladas</t>
  </si>
  <si>
    <t xml:space="preserve">Arandano linaza </t>
  </si>
  <si>
    <t xml:space="preserve">Chimichurri</t>
  </si>
  <si>
    <t xml:space="preserve">frutos del bosque </t>
  </si>
  <si>
    <t xml:space="preserve">Mora, menta, limon</t>
  </si>
  <si>
    <t xml:space="preserve">naranja canrla</t>
  </si>
  <si>
    <t xml:space="preserve">Piña,jenjibre, menta</t>
  </si>
  <si>
    <t xml:space="preserve">Albahaca 200g </t>
  </si>
  <si>
    <t xml:space="preserve">QuesoCabra</t>
  </si>
  <si>
    <t xml:space="preserve">200g</t>
  </si>
  <si>
    <t xml:space="preserve">Albahaca 420g</t>
  </si>
  <si>
    <t xml:space="preserve">420g</t>
  </si>
  <si>
    <t xml:space="preserve">Merken 200g</t>
  </si>
  <si>
    <t xml:space="preserve">Merken 420g</t>
  </si>
  <si>
    <t xml:space="preserve">Natural200g</t>
  </si>
  <si>
    <t xml:space="preserve">Oregano 200g</t>
  </si>
  <si>
    <t xml:space="preserve">Ahumado 200g </t>
  </si>
  <si>
    <t xml:space="preserve">Quesos</t>
  </si>
  <si>
    <t xml:space="preserve">Albahaca 200g</t>
  </si>
  <si>
    <t xml:space="preserve">Laminado 220g</t>
  </si>
  <si>
    <t xml:space="preserve">220g</t>
  </si>
  <si>
    <t xml:space="preserve">Laminado 470g</t>
  </si>
  <si>
    <t xml:space="preserve">470g</t>
  </si>
  <si>
    <t xml:space="preserve">Orégano 200g</t>
  </si>
  <si>
    <t xml:space="preserve">Orégano Rozagante 200g</t>
  </si>
  <si>
    <t xml:space="preserve">Rozagante 200g</t>
  </si>
  <si>
    <t xml:space="preserve">Runca 500g</t>
  </si>
  <si>
    <t xml:space="preserve">Runca 900g</t>
  </si>
  <si>
    <t xml:space="preserve">900g</t>
  </si>
  <si>
    <t xml:space="preserve">🛒  REGISTRO DE VENTAS DIARIAS</t>
  </si>
  <si>
    <t xml:space="preserve">Ingresa cada venta: selecciona la fecha, el producto y la cantidad vendida. Los totales se calculan automáticamente.</t>
  </si>
  <si>
    <t xml:space="preserve">Nº Boleta</t>
  </si>
  <si>
    <t xml:space="preserve">Fecha</t>
  </si>
  <si>
    <t xml:space="preserve">Precio ($)</t>
  </si>
  <si>
    <t xml:space="preserve">Cantidad</t>
  </si>
  <si>
    <t xml:space="preserve">Total Venta ($)</t>
  </si>
  <si>
    <t xml:space="preserve">Costo Total ($)</t>
  </si>
  <si>
    <t xml:space="preserve">Ganancia ($)</t>
  </si>
  <si>
    <t xml:space="preserve">Método Pago</t>
  </si>
  <si>
    <t xml:space="preserve">Total Boleta</t>
  </si>
  <si>
    <t xml:space="preserve">Tarjeta</t>
  </si>
  <si>
    <t xml:space="preserve">miel</t>
  </si>
  <si>
    <t xml:space="preserve">palta</t>
  </si>
  <si>
    <t xml:space="preserve">Mantequilla futurocoop</t>
  </si>
  <si>
    <t xml:space="preserve">Efectivo</t>
  </si>
  <si>
    <t xml:space="preserve">TOTALES</t>
  </si>
  <si>
    <t xml:space="preserve">📊  RESUMEN MENSUAL DE VENTAS Y GANANCIAS</t>
  </si>
  <si>
    <t xml:space="preserve">VENTAS POR CATEGORÍA</t>
  </si>
  <si>
    <t xml:space="preserve">Unidades</t>
  </si>
  <si>
    <t xml:space="preserve">Ingresos ($)</t>
  </si>
  <si>
    <t xml:space="preserve">Costos ($)</t>
  </si>
  <si>
    <t xml:space="preserve">% Total</t>
  </si>
  <si>
    <t xml:space="preserve">Meta ($)</t>
  </si>
  <si>
    <t xml:space="preserve">TOTAL</t>
  </si>
  <si>
    <t xml:space="preserve">VENTAS DIARIAS DEL MES</t>
  </si>
  <si>
    <t xml:space="preserve">Trans.</t>
  </si>
  <si>
    <t xml:space="preserve">Efectivo ($)</t>
  </si>
  <si>
    <t xml:space="preserve">Tarjeta ($)</t>
  </si>
  <si>
    <t xml:space="preserve">Nº Boletas</t>
  </si>
  <si>
    <t xml:space="preserve">Ticket Prom ($)</t>
  </si>
  <si>
    <t xml:space="preserve">TOTAL / PROMEDIO DEL MES</t>
  </si>
  <si>
    <t xml:space="preserve">📊  RESUMEN DE CLIENTES Y TICKET PROMEDIO</t>
  </si>
  <si>
    <t xml:space="preserve">Indicador</t>
  </si>
  <si>
    <t xml:space="preserve">Valor</t>
  </si>
  <si>
    <t xml:space="preserve">Total Boletas (mes)</t>
  </si>
  <si>
    <t xml:space="preserve">Ticket Promedio (mes)</t>
  </si>
  <si>
    <t xml:space="preserve">Ingresos Totales</t>
  </si>
  <si>
    <t xml:space="preserve">Ganancia Total</t>
  </si>
  <si>
    <t xml:space="preserve">Margen Promedio</t>
  </si>
  <si>
    <t xml:space="preserve">Ticket Máximo</t>
  </si>
  <si>
    <t xml:space="preserve">Boletas promedio/día</t>
  </si>
  <si>
    <t xml:space="preserve">Ingresos promedio/día</t>
  </si>
  <si>
    <t xml:space="preserve">Ganancia promedio/día</t>
  </si>
  <si>
    <t xml:space="preserve">📦  CONTROL DE INVENTARIO Y STOCK</t>
  </si>
  <si>
    <t xml:space="preserve">🥚  STOCK DE HUEVOS — Por Calibre</t>
  </si>
  <si>
    <t xml:space="preserve">Calibre</t>
  </si>
  <si>
    <t xml:space="preserve">Stock Inicial</t>
  </si>
  <si>
    <t xml:space="preserve">Vendido</t>
  </si>
  <si>
    <t xml:space="preserve">Stock Actual</t>
  </si>
  <si>
    <t xml:space="preserve">Stock Mín</t>
  </si>
  <si>
    <t xml:space="preserve">Estado</t>
  </si>
  <si>
    <t xml:space="preserve">Primera</t>
  </si>
  <si>
    <t xml:space="preserve">Extra</t>
  </si>
  <si>
    <t xml:space="preserve">Super</t>
  </si>
  <si>
    <t xml:space="preserve">Jumbo</t>
  </si>
  <si>
    <t xml:space="preserve">🌰  STOCK DE FRUTOS SECOS — Por Producto (Kg)</t>
  </si>
  <si>
    <t xml:space="preserve">Stock Ini (kg)</t>
  </si>
  <si>
    <t xml:space="preserve">Vendido (kg)</t>
  </si>
  <si>
    <t xml:space="preserve">Stock Act (kg)</t>
  </si>
  <si>
    <t xml:space="preserve">Almendras</t>
  </si>
  <si>
    <t xml:space="preserve">Castaña de Cajú</t>
  </si>
  <si>
    <t xml:space="preserve">Maní sin Sal</t>
  </si>
  <si>
    <t xml:space="preserve">Mix Regodión</t>
  </si>
  <si>
    <t xml:space="preserve">Nueces</t>
  </si>
  <si>
    <t xml:space="preserve">Semilla de Zapallo</t>
  </si>
  <si>
    <t xml:space="preserve">📦  STOCK POR PRODUCTO INDIVIDUAL</t>
  </si>
  <si>
    <t xml:space="preserve">Stock Ini</t>
  </si>
  <si>
    <t xml:space="preserve">Stock Act</t>
  </si>
  <si>
    <t xml:space="preserve">📈  DASHBOARD — ANÁLISIS DE RENDIMIENTO</t>
  </si>
  <si>
    <t xml:space="preserve">💰 INGRESOS</t>
  </si>
  <si>
    <t xml:space="preserve">📦 COSTOS</t>
  </si>
  <si>
    <t xml:space="preserve">🏆 GANANCIA</t>
  </si>
  <si>
    <t xml:space="preserve">📊 MARGEN</t>
  </si>
  <si>
    <t xml:space="preserve">🎫 BOLETAS</t>
  </si>
  <si>
    <t xml:space="preserve">🎯 TICKET</t>
  </si>
  <si>
    <t xml:space="preserve">📊  VENTAS POR CATEGORÍA</t>
  </si>
  <si>
    <t xml:space="preserve">💳  MÉTODO DE PAGO Y CLIENTES</t>
  </si>
  <si>
    <t xml:space="preserve">Margen</t>
  </si>
  <si>
    <t xml:space="preserve">Total Efectivo ($)</t>
  </si>
  <si>
    <t xml:space="preserve">Total Tarjeta ($)</t>
  </si>
  <si>
    <t xml:space="preserve">% Efectivo</t>
  </si>
  <si>
    <t xml:space="preserve">% Tarjeta</t>
  </si>
  <si>
    <t xml:space="preserve">Total Boletas</t>
  </si>
  <si>
    <t xml:space="preserve">Ticket Promedio ($)</t>
  </si>
  <si>
    <t xml:space="preserve">Ticket Máximo ($)</t>
  </si>
  <si>
    <t xml:space="preserve">🏅  TOP PRODUCTOS MÁS VENDIDOS</t>
  </si>
  <si>
    <t xml:space="preserve">💡  INDICADORES DE DECISIÓN</t>
  </si>
  <si>
    <t xml:space="preserve">Cant.</t>
  </si>
  <si>
    <t xml:space="preserve">Resultado</t>
  </si>
  <si>
    <t xml:space="preserve">Cat. más rentable</t>
  </si>
  <si>
    <t xml:space="preserve">Cat. menos rentable</t>
  </si>
  <si>
    <t xml:space="preserve">Producto estrella</t>
  </si>
  <si>
    <t xml:space="preserve">Ganancia total mes</t>
  </si>
  <si>
    <t xml:space="preserve">Margen global</t>
  </si>
  <si>
    <t xml:space="preserve">📅  PROMEDIOS Y TENDENCIAS</t>
  </si>
  <si>
    <t xml:space="preserve">Días con ventas</t>
  </si>
  <si>
    <t xml:space="preserve">Mejor día (ingresos)</t>
  </si>
  <si>
    <t xml:space="preserve">📋  INSTRUCCIONES DE USO</t>
  </si>
  <si>
    <t xml:space="preserve">PASO 1 — PRODUCTOS</t>
  </si>
  <si>
    <t xml:space="preserve">Ve a la pestaña '📦 Productos' y completa el catálogo con todos tus productos:</t>
  </si>
  <si>
    <t xml:space="preserve">nombre, categoría, unidad, costo y precio de venta. El margen se calcula solo.</t>
  </si>
  <si>
    <t xml:space="preserve">PASO 2 — INVENTARIO</t>
  </si>
  <si>
    <t xml:space="preserve">Ve a '📦 Inventario' y registra el stock inicial de cada producto y el stock mínimo</t>
  </si>
  <si>
    <t xml:space="preserve">que no quieres que baje. Las alertas se activarán automáticamente.</t>
  </si>
  <si>
    <t xml:space="preserve">PASO 3 — VENTAS DIARIAS</t>
  </si>
  <si>
    <t xml:space="preserve">Cada día, en '🛒 Ventas del Día', agrega una fila por cada venta:</t>
  </si>
  <si>
    <t xml:space="preserve">fecha, nombre del producto (exactamente igual al catálogo), precio y cantidad.</t>
  </si>
  <si>
    <t xml:space="preserve">Los totales, costos y ganancias se calculan automáticamente.</t>
  </si>
  <si>
    <t xml:space="preserve">PASO 4 — REVISAR RESUMEN</t>
  </si>
  <si>
    <t xml:space="preserve">En '📊 Resumen Mensual' puedes ver las ventas agrupadas por categoría y por día.</t>
  </si>
  <si>
    <t xml:space="preserve">Compara con tus metas mensuales que defines en la columna H.</t>
  </si>
  <si>
    <t xml:space="preserve">PASO 5 — DASHBOARD</t>
  </si>
  <si>
    <t xml:space="preserve">El '📈 Dashboard' te muestra un resumen ejecutivo con KPIs clave:</t>
  </si>
  <si>
    <t xml:space="preserve">ingresos, costos, ganancia, margen y los productos más vendidos.</t>
  </si>
  <si>
    <t xml:space="preserve">También muestra las alertas de stock bajo.</t>
  </si>
  <si>
    <t xml:space="preserve">TIPS</t>
  </si>
  <si>
    <t xml:space="preserve">• El nombre del producto en Ventas debe ser IDÉNTICO al de Productos.</t>
  </si>
  <si>
    <t xml:space="preserve">• Puedes agregar nuevas categorías en Productos y automáticamente</t>
  </si>
  <si>
    <t xml:space="preserve">  aparecerán en el Resumen.</t>
  </si>
  <si>
    <t xml:space="preserve">• Guarda el archivo con Ctrl+S después de cada uso.</t>
  </si>
  <si>
    <t xml:space="preserve">• Haz una copia mensual para archivar el historial.</t>
  </si>
  <si>
    <t xml:space="preserve">Frutos_Secos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</si>
</sst>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0.0%"/>
    <numFmt numFmtId="168" formatCode="m/d/yyyy"/>
    <numFmt numFmtId="169" formatCode="dd/mm/yyyy"/>
    <numFmt numFmtId="170" formatCode="#,##0.###"/>
    <numFmt numFmtId="171" formatCode="#,##0.##"/>
    <numFmt numFmtId="172" formatCode="#,##0.#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F3460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rgb="FF1ABC9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ABC9C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10"/>
      <color rgb="FFE74C3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27AE60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E94560"/>
      <name val="Arial"/>
      <family val="0"/>
      <charset val="1"/>
    </font>
    <font>
      <b val="true"/>
      <sz val="18"/>
      <color rgb="FF0F3460"/>
      <name val="Arial"/>
      <family val="0"/>
      <charset val="1"/>
    </font>
    <font>
      <b val="true"/>
      <sz val="18"/>
      <color rgb="FF1ABC9C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6C3483"/>
      <name val="Arial"/>
      <family val="0"/>
      <charset val="1"/>
    </font>
    <font>
      <b val="true"/>
      <sz val="12"/>
      <color rgb="FF0F346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mbria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27AE60"/>
        <bgColor rgb="FF1ABC9C"/>
      </patternFill>
    </fill>
    <fill>
      <patternFill patternType="solid">
        <fgColor rgb="FFE94560"/>
        <bgColor rgb="FFE74C3C"/>
      </patternFill>
    </fill>
    <fill>
      <patternFill patternType="solid">
        <fgColor rgb="FFFFFFFF"/>
        <bgColor rgb="FFF5F5F5"/>
      </patternFill>
    </fill>
    <fill>
      <patternFill patternType="solid">
        <fgColor rgb="FFEBF5FB"/>
        <bgColor rgb="FFF5F5F5"/>
      </patternFill>
    </fill>
    <fill>
      <patternFill patternType="solid">
        <fgColor rgb="FF1ABC9C"/>
        <bgColor rgb="FF27AE60"/>
      </patternFill>
    </fill>
    <fill>
      <patternFill patternType="solid">
        <fgColor rgb="FFE67E22"/>
        <bgColor rgb="FFFF9900"/>
      </patternFill>
    </fill>
    <fill>
      <patternFill patternType="solid">
        <fgColor rgb="FF6C3483"/>
        <bgColor rgb="FF333399"/>
      </patternFill>
    </fill>
    <fill>
      <patternFill patternType="solid">
        <fgColor rgb="FFF5F5F5"/>
        <bgColor rgb="FFEBF5FB"/>
      </patternFill>
    </fill>
    <fill>
      <patternFill patternType="solid">
        <fgColor rgb="FFE74C3C"/>
        <bgColor rgb="FFE9456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8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8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6213E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E94560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6C34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6C3483"/>
      <rgbColor rgb="FFF5F5F5"/>
      <rgbColor rgb="FFEBF5FB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F9900"/>
      <rgbColor rgb="FFE67E22"/>
      <rgbColor rgb="FF666666"/>
      <rgbColor rgb="FF969696"/>
      <rgbColor rgb="FF0F3460"/>
      <rgbColor rgb="FF27AE60"/>
      <rgbColor rgb="FF003300"/>
      <rgbColor rgb="FF1A1A2E"/>
      <rgbColor rgb="FF993300"/>
      <rgbColor rgb="FFE94560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Productos" displayName="TablaProductos" ref="A3:H84" headerRowCount="1" totalsRowCount="0" totalsRowShown="0">
  <autoFilter ref="A3:H84"/>
  <tableColumns count="8">
    <tableColumn id="1" name="#"/>
    <tableColumn id="2" name="Producto"/>
    <tableColumn id="3" name="Categoría"/>
    <tableColumn id="4" name="Unidad"/>
    <tableColumn id="5" name="Costo ($)"/>
    <tableColumn id="6" name="Precio Venta ($)"/>
    <tableColumn id="7" name="Margen ($)"/>
    <tableColumn id="8" name="Margen (%)"/>
  </tableColumns>
</table>
</file>

<file path=xl/tables/table2.xml><?xml version="1.0" encoding="utf-8"?>
<table xmlns="http://schemas.openxmlformats.org/spreadsheetml/2006/main" id="2" name="TablaVentas" displayName="TablaVentas" ref="A3:K107" headerRowCount="1" totalsRowCount="0" totalsRowShown="0">
  <autoFilter ref="A3:K107"/>
  <tableColumns count="11">
    <tableColumn id="1" name="Nº Boleta"/>
    <tableColumn id="2" name="Fecha"/>
    <tableColumn id="3" name="Categoría"/>
    <tableColumn id="4" name="Producto"/>
    <tableColumn id="5" name="Precio ($)"/>
    <tableColumn id="6" name="Cantidad"/>
    <tableColumn id="7" name="Total Venta ($)"/>
    <tableColumn id="8" name="Costo Total ($)"/>
    <tableColumn id="9" name="Ganancia ($)"/>
    <tableColumn id="10" name="Método Pago"/>
    <tableColumn id="11" name="Total Bole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5" activeCellId="0" sqref="H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3.88"/>
    <col collapsed="false" customWidth="true" hidden="false" outlineLevel="0" max="4" min="4" style="1" width="11.5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4.79"/>
    <col collapsed="false" customWidth="true" hidden="false" outlineLevel="0" max="8" min="8" style="1" width="15.56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7" t="s">
        <v>9</v>
      </c>
    </row>
    <row r="4" customFormat="false" ht="19.5" hidden="false" customHeight="true" outlineLevel="0" collapsed="false">
      <c r="A4" s="8"/>
      <c r="B4" s="9" t="s">
        <v>10</v>
      </c>
      <c r="C4" s="10" t="s">
        <v>11</v>
      </c>
      <c r="D4" s="10" t="s">
        <v>12</v>
      </c>
      <c r="E4" s="11" t="n">
        <v>4900</v>
      </c>
      <c r="F4" s="12" t="n">
        <v>8000</v>
      </c>
      <c r="G4" s="13" t="n">
        <f aca="false">F4-E4</f>
        <v>3100</v>
      </c>
      <c r="H4" s="14" t="n">
        <f aca="false">IF(F4&gt;0,(F4-E4)/F4,0)</f>
        <v>0.3875</v>
      </c>
    </row>
    <row r="5" customFormat="false" ht="19.5" hidden="false" customHeight="true" outlineLevel="0" collapsed="false">
      <c r="A5" s="8"/>
      <c r="B5" s="9" t="s">
        <v>13</v>
      </c>
      <c r="C5" s="10" t="s">
        <v>11</v>
      </c>
      <c r="D5" s="10" t="s">
        <v>14</v>
      </c>
      <c r="E5" s="11" t="n">
        <v>2050</v>
      </c>
      <c r="F5" s="12" t="n">
        <v>3500</v>
      </c>
      <c r="G5" s="13" t="n">
        <f aca="false">F5-E5</f>
        <v>1450</v>
      </c>
      <c r="H5" s="14" t="n">
        <f aca="false">IF(F5&gt;0,(F5-E5)/F5,0)</f>
        <v>0.414285714285714</v>
      </c>
    </row>
    <row r="6" customFormat="false" ht="19.5" hidden="false" customHeight="true" outlineLevel="0" collapsed="false">
      <c r="A6" s="8"/>
      <c r="B6" s="9" t="s">
        <v>15</v>
      </c>
      <c r="C6" s="10" t="s">
        <v>11</v>
      </c>
      <c r="D6" s="10" t="s">
        <v>14</v>
      </c>
      <c r="E6" s="11" t="n">
        <v>1900</v>
      </c>
      <c r="F6" s="12" t="n">
        <v>3500</v>
      </c>
      <c r="G6" s="13" t="n">
        <f aca="false">F6-E6</f>
        <v>1600</v>
      </c>
      <c r="H6" s="14" t="n">
        <f aca="false">IF(F6&gt;0,(F6-E6)/F6,0)</f>
        <v>0.457142857142857</v>
      </c>
    </row>
    <row r="7" customFormat="false" ht="19.5" hidden="false" customHeight="true" outlineLevel="0" collapsed="false">
      <c r="A7" s="8"/>
      <c r="B7" s="9" t="s">
        <v>16</v>
      </c>
      <c r="C7" s="10" t="s">
        <v>11</v>
      </c>
      <c r="D7" s="10" t="s">
        <v>14</v>
      </c>
      <c r="E7" s="11" t="n">
        <v>1900</v>
      </c>
      <c r="F7" s="12" t="n">
        <v>3790</v>
      </c>
      <c r="G7" s="13" t="n">
        <f aca="false">F7-E7</f>
        <v>1890</v>
      </c>
      <c r="H7" s="14" t="n">
        <f aca="false">IF(F7&gt;0,(F7-E7)/F7,0)</f>
        <v>0.49868073878628</v>
      </c>
    </row>
    <row r="8" customFormat="false" ht="19.5" hidden="false" customHeight="true" outlineLevel="0" collapsed="false">
      <c r="A8" s="8"/>
      <c r="B8" s="9" t="s">
        <v>17</v>
      </c>
      <c r="C8" s="10" t="s">
        <v>11</v>
      </c>
      <c r="D8" s="10" t="s">
        <v>14</v>
      </c>
      <c r="E8" s="11" t="n">
        <v>1650</v>
      </c>
      <c r="F8" s="12" t="n">
        <v>3290</v>
      </c>
      <c r="G8" s="13" t="n">
        <f aca="false">F8-E8</f>
        <v>1640</v>
      </c>
      <c r="H8" s="14" t="n">
        <f aca="false">IF(F8&gt;0,(F8-E8)/F8,0)</f>
        <v>0.498480243161094</v>
      </c>
    </row>
    <row r="9" customFormat="false" ht="19.5" hidden="false" customHeight="true" outlineLevel="0" collapsed="false">
      <c r="A9" s="8"/>
      <c r="B9" s="9" t="s">
        <v>18</v>
      </c>
      <c r="C9" s="10" t="s">
        <v>11</v>
      </c>
      <c r="D9" s="10" t="s">
        <v>19</v>
      </c>
      <c r="E9" s="11" t="n">
        <v>3100</v>
      </c>
      <c r="F9" s="12" t="n">
        <v>4800</v>
      </c>
      <c r="G9" s="13" t="n">
        <f aca="false">F9-E9</f>
        <v>1700</v>
      </c>
      <c r="H9" s="14" t="n">
        <f aca="false">IF(F9&gt;0,(F9-E9)/F9,0)</f>
        <v>0.354166666666667</v>
      </c>
    </row>
    <row r="10" customFormat="false" ht="19.5" hidden="false" customHeight="true" outlineLevel="0" collapsed="false">
      <c r="A10" s="8"/>
      <c r="B10" s="9" t="s">
        <v>20</v>
      </c>
      <c r="C10" s="10" t="s">
        <v>11</v>
      </c>
      <c r="D10" s="10" t="s">
        <v>19</v>
      </c>
      <c r="E10" s="11" t="n">
        <v>2900</v>
      </c>
      <c r="F10" s="12" t="n">
        <v>5000</v>
      </c>
      <c r="G10" s="13" t="n">
        <f aca="false">F10-E10</f>
        <v>2100</v>
      </c>
      <c r="H10" s="14" t="n">
        <f aca="false">IF(F10&gt;0,(F10-E10)/F10,0)</f>
        <v>0.42</v>
      </c>
    </row>
    <row r="11" customFormat="false" ht="19.5" hidden="false" customHeight="true" outlineLevel="0" collapsed="false">
      <c r="A11" s="8"/>
      <c r="B11" s="9" t="s">
        <v>21</v>
      </c>
      <c r="C11" s="10" t="s">
        <v>11</v>
      </c>
      <c r="D11" s="10" t="s">
        <v>19</v>
      </c>
      <c r="E11" s="11" t="n">
        <v>2900</v>
      </c>
      <c r="F11" s="12" t="n">
        <v>5890</v>
      </c>
      <c r="G11" s="13" t="n">
        <f aca="false">F11-E11</f>
        <v>2990</v>
      </c>
      <c r="H11" s="14" t="n">
        <f aca="false">IF(F11&gt;0,(F11-E11)/F11,0)</f>
        <v>0.507640067911715</v>
      </c>
    </row>
    <row r="12" customFormat="false" ht="19.5" hidden="false" customHeight="true" outlineLevel="0" collapsed="false">
      <c r="A12" s="8"/>
      <c r="B12" s="9" t="s">
        <v>22</v>
      </c>
      <c r="C12" s="10" t="s">
        <v>11</v>
      </c>
      <c r="D12" s="10" t="s">
        <v>19</v>
      </c>
      <c r="E12" s="11" t="n">
        <v>1800</v>
      </c>
      <c r="F12" s="12" t="n">
        <v>4390</v>
      </c>
      <c r="G12" s="13" t="n">
        <f aca="false">F12-E12</f>
        <v>2590</v>
      </c>
      <c r="H12" s="14" t="n">
        <f aca="false">IF(F12&gt;0,(F12-E12)/F12,0)</f>
        <v>0.58997722095672</v>
      </c>
    </row>
    <row r="13" customFormat="false" ht="19.5" hidden="false" customHeight="true" outlineLevel="0" collapsed="false">
      <c r="A13" s="15" t="n">
        <v>57</v>
      </c>
      <c r="B13" s="16" t="s">
        <v>23</v>
      </c>
      <c r="C13" s="17" t="s">
        <v>24</v>
      </c>
      <c r="D13" s="17" t="s">
        <v>25</v>
      </c>
      <c r="E13" s="18" t="n">
        <v>3064</v>
      </c>
      <c r="F13" s="19" t="n">
        <v>5500</v>
      </c>
      <c r="G13" s="20" t="n">
        <f aca="false">F13-E13</f>
        <v>2436</v>
      </c>
      <c r="H13" s="21" t="n">
        <f aca="false">IF(F13&gt;0,(F13-E13)/F13,0)</f>
        <v>0.442909090909091</v>
      </c>
    </row>
    <row r="14" customFormat="false" ht="19.5" hidden="false" customHeight="true" outlineLevel="0" collapsed="false">
      <c r="A14" s="8" t="n">
        <v>56</v>
      </c>
      <c r="B14" s="22" t="s">
        <v>26</v>
      </c>
      <c r="C14" s="23" t="s">
        <v>24</v>
      </c>
      <c r="D14" s="23" t="s">
        <v>12</v>
      </c>
      <c r="E14" s="11" t="n">
        <v>5409</v>
      </c>
      <c r="F14" s="12" t="n">
        <v>8000</v>
      </c>
      <c r="G14" s="13" t="n">
        <f aca="false">F14-E14</f>
        <v>2591</v>
      </c>
      <c r="H14" s="14" t="n">
        <f aca="false">IF(F14&gt;0,(F14-E14)/F14,0)</f>
        <v>0.323875</v>
      </c>
    </row>
    <row r="15" customFormat="false" ht="19.5" hidden="false" customHeight="true" outlineLevel="0" collapsed="false">
      <c r="A15" s="15" t="n">
        <v>53</v>
      </c>
      <c r="B15" s="16" t="s">
        <v>27</v>
      </c>
      <c r="C15" s="17" t="s">
        <v>24</v>
      </c>
      <c r="D15" s="17" t="s">
        <v>25</v>
      </c>
      <c r="E15" s="18" t="n">
        <v>3064</v>
      </c>
      <c r="F15" s="19" t="n">
        <v>5500</v>
      </c>
      <c r="G15" s="20" t="n">
        <f aca="false">F15-E15</f>
        <v>2436</v>
      </c>
      <c r="H15" s="21" t="n">
        <f aca="false">IF(F15&gt;0,(F15-E15)/F15,0)</f>
        <v>0.442909090909091</v>
      </c>
    </row>
    <row r="16" customFormat="false" ht="19.5" hidden="false" customHeight="true" outlineLevel="0" collapsed="false">
      <c r="A16" s="8" t="n">
        <v>52</v>
      </c>
      <c r="B16" s="22" t="s">
        <v>28</v>
      </c>
      <c r="C16" s="23" t="s">
        <v>24</v>
      </c>
      <c r="D16" s="23" t="s">
        <v>12</v>
      </c>
      <c r="E16" s="11" t="n">
        <v>5409</v>
      </c>
      <c r="F16" s="12" t="n">
        <v>8000</v>
      </c>
      <c r="G16" s="13" t="n">
        <f aca="false">F16-E16</f>
        <v>2591</v>
      </c>
      <c r="H16" s="14" t="n">
        <f aca="false">IF(F16&gt;0,(F16-E16)/F16,0)</f>
        <v>0.323875</v>
      </c>
    </row>
    <row r="17" customFormat="false" ht="19.5" hidden="false" customHeight="true" outlineLevel="0" collapsed="false">
      <c r="A17" s="15" t="n">
        <v>55</v>
      </c>
      <c r="B17" s="16" t="s">
        <v>29</v>
      </c>
      <c r="C17" s="17" t="s">
        <v>24</v>
      </c>
      <c r="D17" s="17" t="s">
        <v>25</v>
      </c>
      <c r="E17" s="18" t="n">
        <v>3064</v>
      </c>
      <c r="F17" s="19" t="n">
        <v>5500</v>
      </c>
      <c r="G17" s="20" t="n">
        <f aca="false">F17-E17</f>
        <v>2436</v>
      </c>
      <c r="H17" s="21" t="n">
        <f aca="false">IF(F17&gt;0,(F17-E17)/F17,0)</f>
        <v>0.442909090909091</v>
      </c>
    </row>
    <row r="18" customFormat="false" ht="19.5" hidden="false" customHeight="true" outlineLevel="0" collapsed="false">
      <c r="A18" s="8" t="n">
        <v>54</v>
      </c>
      <c r="B18" s="22" t="s">
        <v>30</v>
      </c>
      <c r="C18" s="23" t="s">
        <v>24</v>
      </c>
      <c r="D18" s="23" t="s">
        <v>12</v>
      </c>
      <c r="E18" s="11" t="n">
        <v>5409</v>
      </c>
      <c r="F18" s="12" t="n">
        <v>8000</v>
      </c>
      <c r="G18" s="13" t="n">
        <f aca="false">F18-E18</f>
        <v>2591</v>
      </c>
      <c r="H18" s="14" t="n">
        <f aca="false">IF(F18&gt;0,(F18-E18)/F18,0)</f>
        <v>0.323875</v>
      </c>
    </row>
    <row r="19" customFormat="false" ht="19.5" hidden="false" customHeight="true" outlineLevel="0" collapsed="false">
      <c r="A19" s="8" t="n">
        <v>32</v>
      </c>
      <c r="B19" s="22" t="s">
        <v>31</v>
      </c>
      <c r="C19" s="23" t="s">
        <v>32</v>
      </c>
      <c r="D19" s="23" t="s">
        <v>33</v>
      </c>
      <c r="E19" s="11" t="n">
        <v>1060</v>
      </c>
      <c r="F19" s="12" t="n">
        <v>1600</v>
      </c>
      <c r="G19" s="13" t="n">
        <f aca="false">F19-E19</f>
        <v>540</v>
      </c>
      <c r="H19" s="14" t="n">
        <f aca="false">IF(F19&gt;0,(F19-E19)/F19,0)</f>
        <v>0.3375</v>
      </c>
    </row>
    <row r="20" customFormat="false" ht="19.5" hidden="false" customHeight="true" outlineLevel="0" collapsed="false">
      <c r="A20" s="15" t="n">
        <v>35</v>
      </c>
      <c r="B20" s="16" t="s">
        <v>34</v>
      </c>
      <c r="C20" s="17" t="s">
        <v>32</v>
      </c>
      <c r="D20" s="17" t="s">
        <v>12</v>
      </c>
      <c r="E20" s="18" t="n">
        <v>10600</v>
      </c>
      <c r="F20" s="19" t="n">
        <v>14250</v>
      </c>
      <c r="G20" s="20" t="n">
        <f aca="false">F20-E20</f>
        <v>3650</v>
      </c>
      <c r="H20" s="21" t="n">
        <f aca="false">IF(F20&gt;0,(F20-E20)/F20,0)</f>
        <v>0.256140350877193</v>
      </c>
    </row>
    <row r="21" customFormat="false" ht="19.5" hidden="false" customHeight="true" outlineLevel="0" collapsed="false">
      <c r="A21" s="15" t="n">
        <v>33</v>
      </c>
      <c r="B21" s="16" t="s">
        <v>35</v>
      </c>
      <c r="C21" s="17" t="s">
        <v>32</v>
      </c>
      <c r="D21" s="17" t="s">
        <v>14</v>
      </c>
      <c r="E21" s="18" t="n">
        <v>2650</v>
      </c>
      <c r="F21" s="19" t="n">
        <v>3750</v>
      </c>
      <c r="G21" s="20" t="n">
        <f aca="false">F21-E21</f>
        <v>1100</v>
      </c>
      <c r="H21" s="21" t="n">
        <f aca="false">IF(F21&gt;0,(F21-E21)/F21,0)</f>
        <v>0.293333333333333</v>
      </c>
    </row>
    <row r="22" customFormat="false" ht="19.5" hidden="false" customHeight="true" outlineLevel="0" collapsed="false">
      <c r="A22" s="8" t="n">
        <v>34</v>
      </c>
      <c r="B22" s="22" t="s">
        <v>36</v>
      </c>
      <c r="C22" s="23" t="s">
        <v>32</v>
      </c>
      <c r="D22" s="23" t="s">
        <v>19</v>
      </c>
      <c r="E22" s="11" t="n">
        <v>5300</v>
      </c>
      <c r="F22" s="12" t="n">
        <v>7350</v>
      </c>
      <c r="G22" s="13" t="n">
        <f aca="false">F22-E22</f>
        <v>2050</v>
      </c>
      <c r="H22" s="14" t="n">
        <f aca="false">IF(F22&gt;0,(F22-E22)/F22,0)</f>
        <v>0.27891156462585</v>
      </c>
    </row>
    <row r="23" customFormat="false" ht="19.5" hidden="false" customHeight="true" outlineLevel="0" collapsed="false">
      <c r="A23" s="8" t="n">
        <v>40</v>
      </c>
      <c r="B23" s="22" t="s">
        <v>37</v>
      </c>
      <c r="C23" s="23" t="s">
        <v>32</v>
      </c>
      <c r="D23" s="23" t="s">
        <v>33</v>
      </c>
      <c r="E23" s="11" t="n">
        <v>1350</v>
      </c>
      <c r="F23" s="12" t="n">
        <v>2400</v>
      </c>
      <c r="G23" s="13" t="n">
        <f aca="false">F23-E23</f>
        <v>1050</v>
      </c>
      <c r="H23" s="14" t="n">
        <f aca="false">IF(F23&gt;0,(F23-E23)/F23,0)</f>
        <v>0.4375</v>
      </c>
    </row>
    <row r="24" customFormat="false" ht="19.5" hidden="false" customHeight="true" outlineLevel="0" collapsed="false">
      <c r="A24" s="15" t="n">
        <v>43</v>
      </c>
      <c r="B24" s="16" t="s">
        <v>38</v>
      </c>
      <c r="C24" s="17" t="s">
        <v>32</v>
      </c>
      <c r="D24" s="17" t="s">
        <v>12</v>
      </c>
      <c r="E24" s="18" t="n">
        <v>13500</v>
      </c>
      <c r="F24" s="19" t="n">
        <v>19900</v>
      </c>
      <c r="G24" s="20" t="n">
        <f aca="false">F24-E24</f>
        <v>6400</v>
      </c>
      <c r="H24" s="21" t="n">
        <f aca="false">IF(F24&gt;0,(F24-E24)/F24,0)</f>
        <v>0.321608040201005</v>
      </c>
    </row>
    <row r="25" customFormat="false" ht="19.5" hidden="false" customHeight="true" outlineLevel="0" collapsed="false">
      <c r="A25" s="15" t="n">
        <v>41</v>
      </c>
      <c r="B25" s="16" t="s">
        <v>39</v>
      </c>
      <c r="C25" s="17" t="s">
        <v>32</v>
      </c>
      <c r="D25" s="17" t="s">
        <v>14</v>
      </c>
      <c r="E25" s="18" t="n">
        <v>3375</v>
      </c>
      <c r="F25" s="19" t="n">
        <v>5250</v>
      </c>
      <c r="G25" s="20" t="n">
        <f aca="false">F25-E25</f>
        <v>1875</v>
      </c>
      <c r="H25" s="21" t="n">
        <f aca="false">IF(F25&gt;0,(F25-E25)/F25,0)</f>
        <v>0.357142857142857</v>
      </c>
    </row>
    <row r="26" customFormat="false" ht="19.5" hidden="false" customHeight="true" outlineLevel="0" collapsed="false">
      <c r="A26" s="8" t="n">
        <v>42</v>
      </c>
      <c r="B26" s="22" t="s">
        <v>40</v>
      </c>
      <c r="C26" s="23" t="s">
        <v>32</v>
      </c>
      <c r="D26" s="23" t="s">
        <v>19</v>
      </c>
      <c r="E26" s="11" t="n">
        <v>6750</v>
      </c>
      <c r="F26" s="12" t="n">
        <v>10300</v>
      </c>
      <c r="G26" s="13" t="n">
        <f aca="false">F26-E26</f>
        <v>3550</v>
      </c>
      <c r="H26" s="14" t="n">
        <f aca="false">IF(F26&gt;0,(F26-E26)/F26,0)</f>
        <v>0.344660194174757</v>
      </c>
    </row>
    <row r="27" customFormat="false" ht="19.5" hidden="false" customHeight="true" outlineLevel="0" collapsed="false">
      <c r="A27" s="8" t="n">
        <v>44</v>
      </c>
      <c r="B27" s="22" t="s">
        <v>41</v>
      </c>
      <c r="C27" s="23" t="s">
        <v>32</v>
      </c>
      <c r="D27" s="23" t="s">
        <v>33</v>
      </c>
      <c r="E27" s="11" t="n">
        <v>341</v>
      </c>
      <c r="F27" s="12" t="n">
        <v>630</v>
      </c>
      <c r="G27" s="13" t="n">
        <f aca="false">F27-E27</f>
        <v>289</v>
      </c>
      <c r="H27" s="14" t="n">
        <f aca="false">IF(F27&gt;0,(F27-E27)/F27,0)</f>
        <v>0.458730158730159</v>
      </c>
    </row>
    <row r="28" customFormat="false" ht="19.5" hidden="false" customHeight="true" outlineLevel="0" collapsed="false">
      <c r="A28" s="15" t="n">
        <v>47</v>
      </c>
      <c r="B28" s="16" t="s">
        <v>42</v>
      </c>
      <c r="C28" s="17" t="s">
        <v>32</v>
      </c>
      <c r="D28" s="17" t="s">
        <v>12</v>
      </c>
      <c r="E28" s="18" t="n">
        <v>3410</v>
      </c>
      <c r="F28" s="19" t="n">
        <v>4750</v>
      </c>
      <c r="G28" s="20" t="n">
        <f aca="false">F28-E28</f>
        <v>1340</v>
      </c>
      <c r="H28" s="21" t="n">
        <f aca="false">IF(F28&gt;0,(F28-E28)/F28,0)</f>
        <v>0.282105263157895</v>
      </c>
    </row>
    <row r="29" customFormat="false" ht="19.5" hidden="false" customHeight="true" outlineLevel="0" collapsed="false">
      <c r="A29" s="15" t="n">
        <v>45</v>
      </c>
      <c r="B29" s="16" t="s">
        <v>43</v>
      </c>
      <c r="C29" s="17" t="s">
        <v>32</v>
      </c>
      <c r="D29" s="17" t="s">
        <v>14</v>
      </c>
      <c r="E29" s="18" t="n">
        <v>852</v>
      </c>
      <c r="F29" s="19" t="n">
        <v>1250</v>
      </c>
      <c r="G29" s="20" t="n">
        <f aca="false">F29-E29</f>
        <v>398</v>
      </c>
      <c r="H29" s="21" t="n">
        <f aca="false">IF(F29&gt;0,(F29-E29)/F29,0)</f>
        <v>0.3184</v>
      </c>
    </row>
    <row r="30" customFormat="false" ht="19.5" hidden="false" customHeight="true" outlineLevel="0" collapsed="false">
      <c r="A30" s="8" t="n">
        <v>46</v>
      </c>
      <c r="B30" s="24" t="s">
        <v>44</v>
      </c>
      <c r="C30" s="23" t="s">
        <v>32</v>
      </c>
      <c r="D30" s="23" t="s">
        <v>19</v>
      </c>
      <c r="E30" s="11" t="n">
        <v>1705</v>
      </c>
      <c r="F30" s="12" t="n">
        <v>2500</v>
      </c>
      <c r="G30" s="13" t="n">
        <f aca="false">F30-E30</f>
        <v>795</v>
      </c>
      <c r="H30" s="14" t="n">
        <f aca="false">IF(F30&gt;0,(F30-E30)/F30,0)</f>
        <v>0.318</v>
      </c>
    </row>
    <row r="31" customFormat="false" ht="19.5" hidden="false" customHeight="true" outlineLevel="0" collapsed="false">
      <c r="A31" s="8" t="n">
        <v>48</v>
      </c>
      <c r="B31" s="24" t="s">
        <v>45</v>
      </c>
      <c r="C31" s="23" t="s">
        <v>32</v>
      </c>
      <c r="D31" s="23" t="s">
        <v>33</v>
      </c>
      <c r="E31" s="11" t="n">
        <v>580</v>
      </c>
      <c r="F31" s="12" t="n">
        <v>1200</v>
      </c>
      <c r="G31" s="13" t="n">
        <f aca="false">F31-E31</f>
        <v>620</v>
      </c>
      <c r="H31" s="14" t="n">
        <f aca="false">IF(F31&gt;0,(F31-E31)/F31,0)</f>
        <v>0.516666666666667</v>
      </c>
    </row>
    <row r="32" customFormat="false" ht="19.5" hidden="false" customHeight="true" outlineLevel="0" collapsed="false">
      <c r="A32" s="15" t="n">
        <v>51</v>
      </c>
      <c r="B32" s="25" t="s">
        <v>46</v>
      </c>
      <c r="C32" s="17" t="s">
        <v>32</v>
      </c>
      <c r="D32" s="17" t="s">
        <v>12</v>
      </c>
      <c r="E32" s="18" t="n">
        <v>5800</v>
      </c>
      <c r="F32" s="19" t="n">
        <v>8000</v>
      </c>
      <c r="G32" s="20" t="n">
        <f aca="false">F32-E32</f>
        <v>2200</v>
      </c>
      <c r="H32" s="21" t="n">
        <f aca="false">IF(F32&gt;0,(F32-E32)/F32,0)</f>
        <v>0.275</v>
      </c>
    </row>
    <row r="33" customFormat="false" ht="19.5" hidden="false" customHeight="true" outlineLevel="0" collapsed="false">
      <c r="A33" s="15" t="n">
        <v>49</v>
      </c>
      <c r="B33" s="25" t="s">
        <v>47</v>
      </c>
      <c r="C33" s="17" t="s">
        <v>32</v>
      </c>
      <c r="D33" s="17" t="s">
        <v>14</v>
      </c>
      <c r="E33" s="18" t="n">
        <v>1450</v>
      </c>
      <c r="F33" s="19" t="n">
        <v>2300</v>
      </c>
      <c r="G33" s="20" t="n">
        <f aca="false">F33-E33</f>
        <v>850</v>
      </c>
      <c r="H33" s="21" t="n">
        <f aca="false">IF(F33&gt;0,(F33-E33)/F33,0)</f>
        <v>0.369565217391304</v>
      </c>
    </row>
    <row r="34" customFormat="false" ht="19.5" hidden="false" customHeight="true" outlineLevel="0" collapsed="false">
      <c r="A34" s="8" t="n">
        <v>50</v>
      </c>
      <c r="B34" s="24" t="s">
        <v>48</v>
      </c>
      <c r="C34" s="23" t="s">
        <v>32</v>
      </c>
      <c r="D34" s="23" t="s">
        <v>19</v>
      </c>
      <c r="E34" s="11" t="n">
        <v>2900</v>
      </c>
      <c r="F34" s="12" t="n">
        <v>4200</v>
      </c>
      <c r="G34" s="13" t="n">
        <f aca="false">F34-E34</f>
        <v>1300</v>
      </c>
      <c r="H34" s="14" t="n">
        <f aca="false">IF(F34&gt;0,(F34-E34)/F34,0)</f>
        <v>0.30952380952381</v>
      </c>
    </row>
    <row r="35" customFormat="false" ht="19.5" hidden="false" customHeight="true" outlineLevel="0" collapsed="false">
      <c r="A35" s="8" t="n">
        <v>28</v>
      </c>
      <c r="B35" s="24" t="s">
        <v>49</v>
      </c>
      <c r="C35" s="23" t="s">
        <v>32</v>
      </c>
      <c r="D35" s="23" t="s">
        <v>33</v>
      </c>
      <c r="E35" s="11" t="n">
        <v>847</v>
      </c>
      <c r="F35" s="12" t="n">
        <v>1500</v>
      </c>
      <c r="G35" s="13" t="n">
        <f aca="false">F35-E35</f>
        <v>653</v>
      </c>
      <c r="H35" s="14" t="n">
        <f aca="false">IF(F35&gt;0,(F35-E35)/F35,0)</f>
        <v>0.435333333333333</v>
      </c>
    </row>
    <row r="36" customFormat="false" ht="19.5" hidden="false" customHeight="true" outlineLevel="0" collapsed="false">
      <c r="A36" s="15" t="n">
        <v>31</v>
      </c>
      <c r="B36" s="25" t="s">
        <v>50</v>
      </c>
      <c r="C36" s="17" t="s">
        <v>32</v>
      </c>
      <c r="D36" s="17" t="s">
        <v>12</v>
      </c>
      <c r="E36" s="18" t="n">
        <v>8470</v>
      </c>
      <c r="F36" s="19" t="n">
        <v>13200</v>
      </c>
      <c r="G36" s="20" t="n">
        <f aca="false">F36-E36</f>
        <v>4730</v>
      </c>
      <c r="H36" s="21" t="n">
        <f aca="false">IF(F36&gt;0,(F36-E36)/F36,0)</f>
        <v>0.358333333333333</v>
      </c>
    </row>
    <row r="37" customFormat="false" ht="19.5" hidden="false" customHeight="true" outlineLevel="0" collapsed="false">
      <c r="A37" s="15" t="n">
        <v>29</v>
      </c>
      <c r="B37" s="16" t="s">
        <v>51</v>
      </c>
      <c r="C37" s="17" t="s">
        <v>32</v>
      </c>
      <c r="D37" s="17" t="s">
        <v>14</v>
      </c>
      <c r="E37" s="18" t="n">
        <v>2118</v>
      </c>
      <c r="F37" s="19" t="n">
        <v>3500</v>
      </c>
      <c r="G37" s="20" t="n">
        <f aca="false">F37-E37</f>
        <v>1382</v>
      </c>
      <c r="H37" s="21" t="n">
        <f aca="false">IF(F37&gt;0,(F37-E37)/F37,0)</f>
        <v>0.394857142857143</v>
      </c>
    </row>
    <row r="38" customFormat="false" ht="19.5" hidden="false" customHeight="true" outlineLevel="0" collapsed="false">
      <c r="A38" s="8" t="n">
        <v>30</v>
      </c>
      <c r="B38" s="22" t="s">
        <v>52</v>
      </c>
      <c r="C38" s="23" t="s">
        <v>32</v>
      </c>
      <c r="D38" s="23" t="s">
        <v>19</v>
      </c>
      <c r="E38" s="11" t="n">
        <v>4235</v>
      </c>
      <c r="F38" s="12" t="n">
        <v>6800</v>
      </c>
      <c r="G38" s="13" t="n">
        <f aca="false">F38-E38</f>
        <v>2565</v>
      </c>
      <c r="H38" s="14" t="n">
        <f aca="false">IF(F38&gt;0,(F38-E38)/F38,0)</f>
        <v>0.377205882352941</v>
      </c>
    </row>
    <row r="39" customFormat="false" ht="19.5" hidden="false" customHeight="true" outlineLevel="0" collapsed="false">
      <c r="A39" s="8" t="n">
        <v>36</v>
      </c>
      <c r="B39" s="22" t="s">
        <v>53</v>
      </c>
      <c r="C39" s="23" t="s">
        <v>32</v>
      </c>
      <c r="D39" s="23" t="s">
        <v>33</v>
      </c>
      <c r="E39" s="11" t="n">
        <v>510</v>
      </c>
      <c r="F39" s="12" t="n">
        <v>1000</v>
      </c>
      <c r="G39" s="13" t="n">
        <f aca="false">F39-E39</f>
        <v>490</v>
      </c>
      <c r="H39" s="14" t="n">
        <f aca="false">IF(F39&gt;0,(F39-E39)/F39,0)</f>
        <v>0.49</v>
      </c>
    </row>
    <row r="40" customFormat="false" ht="19.5" hidden="false" customHeight="true" outlineLevel="0" collapsed="false">
      <c r="A40" s="15" t="n">
        <v>39</v>
      </c>
      <c r="B40" s="16" t="s">
        <v>54</v>
      </c>
      <c r="C40" s="17" t="s">
        <v>32</v>
      </c>
      <c r="D40" s="17" t="s">
        <v>12</v>
      </c>
      <c r="E40" s="18" t="n">
        <v>5100</v>
      </c>
      <c r="F40" s="19" t="n">
        <v>8700</v>
      </c>
      <c r="G40" s="20" t="n">
        <f aca="false">F40-E40</f>
        <v>3600</v>
      </c>
      <c r="H40" s="21" t="n">
        <f aca="false">IF(F40&gt;0,(F40-E40)/F40,0)</f>
        <v>0.413793103448276</v>
      </c>
    </row>
    <row r="41" customFormat="false" ht="19.5" hidden="false" customHeight="true" outlineLevel="0" collapsed="false">
      <c r="A41" s="15" t="n">
        <v>37</v>
      </c>
      <c r="B41" s="16" t="s">
        <v>55</v>
      </c>
      <c r="C41" s="17" t="s">
        <v>32</v>
      </c>
      <c r="D41" s="17" t="s">
        <v>14</v>
      </c>
      <c r="E41" s="18" t="n">
        <v>1275</v>
      </c>
      <c r="F41" s="19" t="n">
        <v>2300</v>
      </c>
      <c r="G41" s="20" t="n">
        <f aca="false">F41-E41</f>
        <v>1025</v>
      </c>
      <c r="H41" s="21" t="n">
        <f aca="false">IF(F41&gt;0,(F41-E41)/F41,0)</f>
        <v>0.445652173913043</v>
      </c>
    </row>
    <row r="42" customFormat="false" ht="19.5" hidden="false" customHeight="true" outlineLevel="0" collapsed="false">
      <c r="A42" s="8" t="n">
        <v>38</v>
      </c>
      <c r="B42" s="22" t="s">
        <v>56</v>
      </c>
      <c r="C42" s="23" t="s">
        <v>32</v>
      </c>
      <c r="D42" s="23" t="s">
        <v>19</v>
      </c>
      <c r="E42" s="11" t="n">
        <v>2550</v>
      </c>
      <c r="F42" s="12" t="n">
        <v>4500</v>
      </c>
      <c r="G42" s="13" t="n">
        <f aca="false">F42-E42</f>
        <v>1950</v>
      </c>
      <c r="H42" s="14" t="n">
        <f aca="false">IF(F42&gt;0,(F42-E42)/F42,0)</f>
        <v>0.433333333333333</v>
      </c>
    </row>
    <row r="43" customFormat="false" ht="19.5" hidden="false" customHeight="true" outlineLevel="0" collapsed="false">
      <c r="A43" s="15" t="n">
        <v>7</v>
      </c>
      <c r="B43" s="22" t="s">
        <v>57</v>
      </c>
      <c r="C43" s="23" t="s">
        <v>58</v>
      </c>
      <c r="D43" s="23" t="s">
        <v>59</v>
      </c>
      <c r="E43" s="11" t="n">
        <v>2527</v>
      </c>
      <c r="F43" s="12" t="n">
        <v>3960</v>
      </c>
      <c r="G43" s="13" t="n">
        <f aca="false">F43-E43</f>
        <v>1433</v>
      </c>
      <c r="H43" s="14" t="n">
        <f aca="false">IF(F43&gt;0,(F43-E43)/F43,0)</f>
        <v>0.361868686868687</v>
      </c>
    </row>
    <row r="44" customFormat="false" ht="19.5" hidden="false" customHeight="true" outlineLevel="0" collapsed="false">
      <c r="A44" s="8" t="n">
        <v>8</v>
      </c>
      <c r="B44" s="16" t="s">
        <v>60</v>
      </c>
      <c r="C44" s="17" t="s">
        <v>58</v>
      </c>
      <c r="D44" s="17" t="s">
        <v>61</v>
      </c>
      <c r="E44" s="18" t="n">
        <v>3158</v>
      </c>
      <c r="F44" s="19" t="n">
        <v>4800</v>
      </c>
      <c r="G44" s="20" t="n">
        <f aca="false">F44-E44</f>
        <v>1642</v>
      </c>
      <c r="H44" s="21" t="n">
        <f aca="false">IF(F44&gt;0,(F44-E44)/F44,0)</f>
        <v>0.342083333333333</v>
      </c>
    </row>
    <row r="45" customFormat="false" ht="19.5" hidden="false" customHeight="true" outlineLevel="0" collapsed="false">
      <c r="A45" s="8" t="n">
        <v>10</v>
      </c>
      <c r="B45" s="16" t="s">
        <v>62</v>
      </c>
      <c r="C45" s="17" t="s">
        <v>58</v>
      </c>
      <c r="D45" s="17" t="s">
        <v>63</v>
      </c>
      <c r="E45" s="18" t="n">
        <v>37900</v>
      </c>
      <c r="F45" s="19" t="n">
        <v>49000</v>
      </c>
      <c r="G45" s="20" t="n">
        <f aca="false">F45-E45</f>
        <v>11100</v>
      </c>
      <c r="H45" s="21" t="n">
        <f aca="false">IF(F45&gt;0,(F45-E45)/F45,0)</f>
        <v>0.226530612244898</v>
      </c>
    </row>
    <row r="46" customFormat="false" ht="19.5" hidden="false" customHeight="true" outlineLevel="0" collapsed="false">
      <c r="A46" s="15" t="n">
        <v>9</v>
      </c>
      <c r="B46" s="22" t="s">
        <v>64</v>
      </c>
      <c r="C46" s="23" t="s">
        <v>58</v>
      </c>
      <c r="D46" s="23" t="s">
        <v>65</v>
      </c>
      <c r="E46" s="11" t="n">
        <v>6317</v>
      </c>
      <c r="F46" s="12" t="n">
        <v>8550</v>
      </c>
      <c r="G46" s="13" t="n">
        <f aca="false">F46-E46</f>
        <v>2233</v>
      </c>
      <c r="H46" s="14" t="n">
        <f aca="false">IF(F46&gt;0,(F46-E46)/F46,0)</f>
        <v>0.261169590643275</v>
      </c>
    </row>
    <row r="47" customFormat="false" ht="19.5" hidden="false" customHeight="true" outlineLevel="0" collapsed="false">
      <c r="A47" s="8" t="n">
        <v>6</v>
      </c>
      <c r="B47" s="16" t="s">
        <v>66</v>
      </c>
      <c r="C47" s="17" t="s">
        <v>58</v>
      </c>
      <c r="D47" s="17" t="s">
        <v>67</v>
      </c>
      <c r="E47" s="18" t="n">
        <v>1263</v>
      </c>
      <c r="F47" s="19" t="n">
        <v>2140</v>
      </c>
      <c r="G47" s="20" t="n">
        <f aca="false">F47-E47</f>
        <v>877</v>
      </c>
      <c r="H47" s="21" t="n">
        <f aca="false">IF(F47&gt;0,(F47-E47)/F47,0)</f>
        <v>0.40981308411215</v>
      </c>
    </row>
    <row r="48" customFormat="false" ht="19.5" hidden="false" customHeight="true" outlineLevel="0" collapsed="false">
      <c r="A48" s="15" t="n">
        <v>17</v>
      </c>
      <c r="B48" s="22" t="s">
        <v>68</v>
      </c>
      <c r="C48" s="23" t="s">
        <v>58</v>
      </c>
      <c r="D48" s="23" t="s">
        <v>69</v>
      </c>
      <c r="E48" s="11" t="n">
        <v>30000</v>
      </c>
      <c r="F48" s="12" t="n">
        <v>37500</v>
      </c>
      <c r="G48" s="13" t="n">
        <f aca="false">F48-E48</f>
        <v>7500</v>
      </c>
      <c r="H48" s="14" t="n">
        <f aca="false">IF(F48&gt;0,(F48-E48)/F48,0)</f>
        <v>0.2</v>
      </c>
    </row>
    <row r="49" customFormat="false" ht="19.5" hidden="false" customHeight="true" outlineLevel="0" collapsed="false">
      <c r="A49" s="8" t="n">
        <v>16</v>
      </c>
      <c r="B49" s="16" t="s">
        <v>70</v>
      </c>
      <c r="C49" s="17" t="s">
        <v>58</v>
      </c>
      <c r="D49" s="17" t="s">
        <v>71</v>
      </c>
      <c r="E49" s="18" t="n">
        <v>6000</v>
      </c>
      <c r="F49" s="19" t="n">
        <v>8500</v>
      </c>
      <c r="G49" s="20" t="n">
        <f aca="false">F49-E49</f>
        <v>2500</v>
      </c>
      <c r="H49" s="21" t="n">
        <f aca="false">IF(F49&gt;0,(F49-E49)/F49,0)</f>
        <v>0.294117647058824</v>
      </c>
    </row>
    <row r="50" customFormat="false" ht="19.5" hidden="false" customHeight="true" outlineLevel="0" collapsed="false">
      <c r="A50" s="8" t="n">
        <v>2</v>
      </c>
      <c r="B50" s="16" t="s">
        <v>72</v>
      </c>
      <c r="C50" s="17" t="s">
        <v>58</v>
      </c>
      <c r="D50" s="17" t="s">
        <v>59</v>
      </c>
      <c r="E50" s="18" t="n">
        <v>2327</v>
      </c>
      <c r="F50" s="19" t="n">
        <v>3690</v>
      </c>
      <c r="G50" s="20" t="n">
        <f aca="false">F50-E50</f>
        <v>1363</v>
      </c>
      <c r="H50" s="21" t="n">
        <f aca="false">IF(F50&gt;0,(F50-E50)/F50,0)</f>
        <v>0.369376693766938</v>
      </c>
    </row>
    <row r="51" customFormat="false" ht="19.5" hidden="false" customHeight="true" outlineLevel="0" collapsed="false">
      <c r="A51" s="15" t="n">
        <v>3</v>
      </c>
      <c r="B51" s="22" t="s">
        <v>73</v>
      </c>
      <c r="C51" s="23" t="s">
        <v>58</v>
      </c>
      <c r="D51" s="23" t="s">
        <v>61</v>
      </c>
      <c r="E51" s="11" t="n">
        <v>2908</v>
      </c>
      <c r="F51" s="12" t="n">
        <v>4650</v>
      </c>
      <c r="G51" s="13" t="n">
        <f aca="false">F51-E51</f>
        <v>1742</v>
      </c>
      <c r="H51" s="14" t="n">
        <f aca="false">IF(F51&gt;0,(F51-E51)/F51,0)</f>
        <v>0.374623655913979</v>
      </c>
    </row>
    <row r="52" customFormat="false" ht="19.5" hidden="false" customHeight="true" outlineLevel="0" collapsed="false">
      <c r="A52" s="15" t="n">
        <v>5</v>
      </c>
      <c r="B52" s="22" t="s">
        <v>74</v>
      </c>
      <c r="C52" s="23" t="s">
        <v>58</v>
      </c>
      <c r="D52" s="23" t="s">
        <v>63</v>
      </c>
      <c r="E52" s="11" t="n">
        <v>34900</v>
      </c>
      <c r="F52" s="12" t="n">
        <v>47000</v>
      </c>
      <c r="G52" s="13" t="n">
        <f aca="false">F52-E52</f>
        <v>12100</v>
      </c>
      <c r="H52" s="14" t="n">
        <f aca="false">IF(F52&gt;0,(F52-E52)/F52,0)</f>
        <v>0.257446808510638</v>
      </c>
    </row>
    <row r="53" customFormat="false" ht="19.5" hidden="false" customHeight="true" outlineLevel="0" collapsed="false">
      <c r="A53" s="8" t="n">
        <v>4</v>
      </c>
      <c r="B53" s="16" t="s">
        <v>75</v>
      </c>
      <c r="C53" s="17" t="s">
        <v>58</v>
      </c>
      <c r="D53" s="17" t="s">
        <v>65</v>
      </c>
      <c r="E53" s="18" t="n">
        <v>5817</v>
      </c>
      <c r="F53" s="19" t="n">
        <v>7800</v>
      </c>
      <c r="G53" s="20" t="n">
        <f aca="false">F53-E53</f>
        <v>1983</v>
      </c>
      <c r="H53" s="21" t="n">
        <f aca="false">IF(F53&gt;0,(F53-E53)/F53,0)</f>
        <v>0.254230769230769</v>
      </c>
    </row>
    <row r="54" customFormat="false" ht="19.5" hidden="false" customHeight="true" outlineLevel="0" collapsed="false">
      <c r="A54" s="15" t="n">
        <v>1</v>
      </c>
      <c r="B54" s="22" t="s">
        <v>76</v>
      </c>
      <c r="C54" s="23" t="s">
        <v>58</v>
      </c>
      <c r="D54" s="23" t="s">
        <v>67</v>
      </c>
      <c r="E54" s="11" t="n">
        <v>1163</v>
      </c>
      <c r="F54" s="12" t="n">
        <v>1950</v>
      </c>
      <c r="G54" s="13" t="n">
        <f aca="false">F54-E54</f>
        <v>787</v>
      </c>
      <c r="H54" s="14" t="n">
        <f aca="false">IF(F54&gt;0,(F54-E54)/F54,0)</f>
        <v>0.403589743589744</v>
      </c>
    </row>
    <row r="55" customFormat="false" ht="19.5" hidden="false" customHeight="true" outlineLevel="0" collapsed="false">
      <c r="A55" s="8" t="n">
        <v>12</v>
      </c>
      <c r="B55" s="16" t="s">
        <v>77</v>
      </c>
      <c r="C55" s="17" t="s">
        <v>58</v>
      </c>
      <c r="D55" s="17" t="s">
        <v>59</v>
      </c>
      <c r="E55" s="18" t="n">
        <v>3240</v>
      </c>
      <c r="F55" s="19" t="n">
        <v>4800</v>
      </c>
      <c r="G55" s="20" t="n">
        <f aca="false">F55-E55</f>
        <v>1560</v>
      </c>
      <c r="H55" s="21" t="n">
        <f aca="false">IF(F55&gt;0,(F55-E55)/F55,0)</f>
        <v>0.325</v>
      </c>
    </row>
    <row r="56" customFormat="false" ht="19.5" hidden="false" customHeight="true" outlineLevel="0" collapsed="false">
      <c r="A56" s="15" t="n">
        <v>13</v>
      </c>
      <c r="B56" s="24" t="s">
        <v>78</v>
      </c>
      <c r="C56" s="23" t="s">
        <v>58</v>
      </c>
      <c r="D56" s="23" t="s">
        <v>61</v>
      </c>
      <c r="E56" s="11" t="n">
        <v>4050</v>
      </c>
      <c r="F56" s="12" t="n">
        <v>5700</v>
      </c>
      <c r="G56" s="13" t="n">
        <f aca="false">F56-E56</f>
        <v>1650</v>
      </c>
      <c r="H56" s="14" t="n">
        <f aca="false">IF(F56&gt;0,(F56-E56)/F56,0)</f>
        <v>0.289473684210526</v>
      </c>
    </row>
    <row r="57" customFormat="false" ht="19.5" hidden="false" customHeight="true" outlineLevel="0" collapsed="false">
      <c r="A57" s="15" t="n">
        <v>15</v>
      </c>
      <c r="B57" s="24" t="s">
        <v>79</v>
      </c>
      <c r="C57" s="23" t="s">
        <v>58</v>
      </c>
      <c r="D57" s="23" t="s">
        <v>63</v>
      </c>
      <c r="E57" s="11" t="n">
        <v>48600</v>
      </c>
      <c r="F57" s="12" t="n">
        <v>57400</v>
      </c>
      <c r="G57" s="13" t="n">
        <f aca="false">F57-E57</f>
        <v>8800</v>
      </c>
      <c r="H57" s="14" t="n">
        <f aca="false">IF(F57&gt;0,(F57-E57)/F57,0)</f>
        <v>0.153310104529617</v>
      </c>
    </row>
    <row r="58" customFormat="false" ht="19.5" hidden="false" customHeight="true" outlineLevel="0" collapsed="false">
      <c r="A58" s="8" t="n">
        <v>14</v>
      </c>
      <c r="B58" s="25" t="s">
        <v>80</v>
      </c>
      <c r="C58" s="17" t="s">
        <v>58</v>
      </c>
      <c r="D58" s="17" t="s">
        <v>65</v>
      </c>
      <c r="E58" s="18" t="n">
        <v>8100</v>
      </c>
      <c r="F58" s="19" t="n">
        <v>10000</v>
      </c>
      <c r="G58" s="20" t="n">
        <f aca="false">F58-E58</f>
        <v>1900</v>
      </c>
      <c r="H58" s="21" t="n">
        <f aca="false">IF(F58&gt;0,(F58-E58)/F58,0)</f>
        <v>0.19</v>
      </c>
    </row>
    <row r="59" customFormat="false" ht="19.5" hidden="false" customHeight="true" outlineLevel="0" collapsed="false">
      <c r="A59" s="15" t="n">
        <v>11</v>
      </c>
      <c r="B59" s="24" t="s">
        <v>81</v>
      </c>
      <c r="C59" s="23" t="s">
        <v>58</v>
      </c>
      <c r="D59" s="23" t="s">
        <v>67</v>
      </c>
      <c r="E59" s="11" t="n">
        <v>1620</v>
      </c>
      <c r="F59" s="12" t="n">
        <v>2520</v>
      </c>
      <c r="G59" s="13" t="n">
        <f aca="false">F59-E59</f>
        <v>900</v>
      </c>
      <c r="H59" s="14" t="n">
        <f aca="false">IF(F59&gt;0,(F59-E59)/F59,0)</f>
        <v>0.357142857142857</v>
      </c>
    </row>
    <row r="60" customFormat="false" ht="19.5" hidden="false" customHeight="true" outlineLevel="0" collapsed="false">
      <c r="A60" s="15" t="n">
        <v>25</v>
      </c>
      <c r="B60" s="25" t="s">
        <v>82</v>
      </c>
      <c r="C60" s="23" t="s">
        <v>83</v>
      </c>
      <c r="D60" s="23" t="s">
        <v>5</v>
      </c>
      <c r="E60" s="18" t="n">
        <v>2198.52</v>
      </c>
      <c r="F60" s="19" t="n">
        <v>2900</v>
      </c>
      <c r="G60" s="20" t="n">
        <f aca="false">F60-E60</f>
        <v>701.48</v>
      </c>
      <c r="H60" s="21" t="n">
        <f aca="false">IF(F60&gt;0,(F60-E60)/F60,0)</f>
        <v>0.241889655172414</v>
      </c>
    </row>
    <row r="61" customFormat="false" ht="19.5" hidden="false" customHeight="true" outlineLevel="0" collapsed="false">
      <c r="A61" s="8" t="n">
        <v>26</v>
      </c>
      <c r="B61" s="24" t="s">
        <v>84</v>
      </c>
      <c r="C61" s="23" t="s">
        <v>83</v>
      </c>
      <c r="D61" s="23" t="s">
        <v>5</v>
      </c>
      <c r="E61" s="11" t="n">
        <v>2166</v>
      </c>
      <c r="F61" s="12" t="n">
        <v>3200</v>
      </c>
      <c r="G61" s="13" t="n">
        <f aca="false">F61-E61</f>
        <v>1034</v>
      </c>
      <c r="H61" s="14" t="n">
        <f aca="false">IF(F61&gt;0,(F61-E61)/F61,0)</f>
        <v>0.323125</v>
      </c>
    </row>
    <row r="62" customFormat="false" ht="19.5" hidden="false" customHeight="true" outlineLevel="0" collapsed="false">
      <c r="A62" s="15" t="n">
        <v>27</v>
      </c>
      <c r="B62" s="25" t="s">
        <v>85</v>
      </c>
      <c r="C62" s="17" t="s">
        <v>83</v>
      </c>
      <c r="D62" s="17" t="s">
        <v>5</v>
      </c>
      <c r="E62" s="18" t="n">
        <v>1726</v>
      </c>
      <c r="F62" s="19" t="n">
        <v>2800</v>
      </c>
      <c r="G62" s="20" t="n">
        <f aca="false">F62-E62</f>
        <v>1074</v>
      </c>
      <c r="H62" s="21" t="n">
        <f aca="false">IF(F62&gt;0,(F62-E62)/F62,0)</f>
        <v>0.383571428571429</v>
      </c>
    </row>
    <row r="63" customFormat="false" ht="19.5" hidden="false" customHeight="true" outlineLevel="0" collapsed="false">
      <c r="A63" s="8"/>
      <c r="B63" s="1" t="s">
        <v>86</v>
      </c>
      <c r="C63" s="10" t="s">
        <v>87</v>
      </c>
      <c r="D63" s="23" t="s">
        <v>5</v>
      </c>
      <c r="E63" s="11" t="n">
        <v>2023</v>
      </c>
      <c r="F63" s="12" t="n">
        <v>3500</v>
      </c>
      <c r="G63" s="13" t="n">
        <f aca="false">F63-E63</f>
        <v>1477</v>
      </c>
      <c r="H63" s="14" t="n">
        <f aca="false">IF(F63&gt;0,(F63-E63)/F63,0)</f>
        <v>0.422</v>
      </c>
    </row>
    <row r="64" customFormat="false" ht="19.5" hidden="false" customHeight="true" outlineLevel="0" collapsed="false">
      <c r="A64" s="8"/>
      <c r="B64" s="1" t="s">
        <v>88</v>
      </c>
      <c r="C64" s="10" t="s">
        <v>87</v>
      </c>
      <c r="D64" s="23" t="s">
        <v>5</v>
      </c>
      <c r="E64" s="11" t="n">
        <v>2023</v>
      </c>
      <c r="F64" s="12" t="n">
        <v>3500</v>
      </c>
      <c r="G64" s="13" t="n">
        <f aca="false">F64-E64</f>
        <v>1477</v>
      </c>
      <c r="H64" s="14" t="n">
        <f aca="false">IF(F64&gt;0,(F64-E64)/F64,0)</f>
        <v>0.422</v>
      </c>
    </row>
    <row r="65" customFormat="false" ht="19.5" hidden="false" customHeight="true" outlineLevel="0" collapsed="false">
      <c r="A65" s="8"/>
      <c r="B65" s="9" t="s">
        <v>89</v>
      </c>
      <c r="C65" s="10" t="s">
        <v>87</v>
      </c>
      <c r="D65" s="23" t="s">
        <v>5</v>
      </c>
      <c r="E65" s="11" t="n">
        <v>2023</v>
      </c>
      <c r="F65" s="12" t="n">
        <v>3500</v>
      </c>
      <c r="G65" s="13" t="n">
        <f aca="false">F65-E65</f>
        <v>1477</v>
      </c>
      <c r="H65" s="14" t="n">
        <f aca="false">IF(F65&gt;0,(F65-E65)/F65,0)</f>
        <v>0.422</v>
      </c>
    </row>
    <row r="66" customFormat="false" ht="19.5" hidden="false" customHeight="true" outlineLevel="0" collapsed="false">
      <c r="A66" s="8"/>
      <c r="B66" s="9" t="s">
        <v>90</v>
      </c>
      <c r="C66" s="10" t="s">
        <v>87</v>
      </c>
      <c r="D66" s="23" t="s">
        <v>5</v>
      </c>
      <c r="E66" s="11" t="n">
        <v>2023</v>
      </c>
      <c r="F66" s="12" t="n">
        <v>3500</v>
      </c>
      <c r="G66" s="13" t="n">
        <f aca="false">F66-E66</f>
        <v>1477</v>
      </c>
      <c r="H66" s="14" t="n">
        <f aca="false">IF(F66&gt;0,(F66-E66)/F66,0)</f>
        <v>0.422</v>
      </c>
    </row>
    <row r="67" customFormat="false" ht="19.5" hidden="false" customHeight="true" outlineLevel="0" collapsed="false">
      <c r="A67" s="8"/>
      <c r="B67" s="9" t="s">
        <v>91</v>
      </c>
      <c r="C67" s="10" t="s">
        <v>87</v>
      </c>
      <c r="D67" s="23" t="s">
        <v>5</v>
      </c>
      <c r="E67" s="11" t="n">
        <v>2023</v>
      </c>
      <c r="F67" s="12" t="n">
        <v>3500</v>
      </c>
      <c r="G67" s="13" t="n">
        <f aca="false">F67-E67</f>
        <v>1477</v>
      </c>
      <c r="H67" s="14" t="n">
        <f aca="false">IF(F67&gt;0,(F67-E67)/F67,0)</f>
        <v>0.422</v>
      </c>
    </row>
    <row r="68" customFormat="false" ht="19.5" hidden="false" customHeight="true" outlineLevel="0" collapsed="false">
      <c r="A68" s="8"/>
      <c r="B68" s="9" t="s">
        <v>92</v>
      </c>
      <c r="C68" s="10" t="s">
        <v>87</v>
      </c>
      <c r="D68" s="23" t="s">
        <v>5</v>
      </c>
      <c r="E68" s="11" t="n">
        <v>2023</v>
      </c>
      <c r="F68" s="12" t="n">
        <v>3500</v>
      </c>
      <c r="G68" s="13" t="n">
        <f aca="false">F68-E68</f>
        <v>1477</v>
      </c>
      <c r="H68" s="14" t="n">
        <f aca="false">IF(F68&gt;0,(F68-E68)/F68,0)</f>
        <v>0.422</v>
      </c>
    </row>
    <row r="69" customFormat="false" ht="19.5" hidden="false" customHeight="true" outlineLevel="0" collapsed="false">
      <c r="A69" s="8"/>
      <c r="B69" s="9" t="s">
        <v>93</v>
      </c>
      <c r="C69" s="10" t="s">
        <v>87</v>
      </c>
      <c r="D69" s="23" t="s">
        <v>5</v>
      </c>
      <c r="E69" s="11" t="n">
        <v>2023</v>
      </c>
      <c r="F69" s="12" t="n">
        <v>3500</v>
      </c>
      <c r="G69" s="13" t="n">
        <f aca="false">F69-E69</f>
        <v>1477</v>
      </c>
      <c r="H69" s="14" t="n">
        <f aca="false">IF(F69&gt;0,(F69-E69)/F69,0)</f>
        <v>0.422</v>
      </c>
    </row>
    <row r="70" customFormat="false" ht="19.5" hidden="false" customHeight="true" outlineLevel="0" collapsed="false">
      <c r="A70" s="8"/>
      <c r="B70" s="1" t="s">
        <v>94</v>
      </c>
      <c r="C70" s="10" t="s">
        <v>95</v>
      </c>
      <c r="D70" s="10" t="s">
        <v>96</v>
      </c>
      <c r="E70" s="11" t="n">
        <v>3891</v>
      </c>
      <c r="F70" s="12" t="n">
        <v>5500</v>
      </c>
      <c r="G70" s="13" t="n">
        <f aca="false">F70-E70</f>
        <v>1609</v>
      </c>
      <c r="H70" s="14" t="n">
        <f aca="false">IF(F70&gt;0,(F70-E70)/F70,0)</f>
        <v>0.292545454545455</v>
      </c>
    </row>
    <row r="71" customFormat="false" ht="19.5" hidden="false" customHeight="true" outlineLevel="0" collapsed="false">
      <c r="A71" s="8"/>
      <c r="B71" s="1" t="s">
        <v>97</v>
      </c>
      <c r="C71" s="10" t="s">
        <v>95</v>
      </c>
      <c r="D71" s="10" t="s">
        <v>98</v>
      </c>
      <c r="E71" s="11" t="n">
        <v>7489</v>
      </c>
      <c r="F71" s="12" t="n">
        <v>9500</v>
      </c>
      <c r="G71" s="13" t="n">
        <f aca="false">F71-E71</f>
        <v>2011</v>
      </c>
      <c r="H71" s="14" t="n">
        <f aca="false">IF(F71&gt;0,(F71-E71)/F71,0)</f>
        <v>0.211684210526316</v>
      </c>
    </row>
    <row r="72" customFormat="false" ht="19.5" hidden="false" customHeight="true" outlineLevel="0" collapsed="false">
      <c r="A72" s="8"/>
      <c r="B72" s="1" t="s">
        <v>99</v>
      </c>
      <c r="C72" s="10" t="s">
        <v>95</v>
      </c>
      <c r="D72" s="10" t="s">
        <v>96</v>
      </c>
      <c r="E72" s="11" t="n">
        <v>3891</v>
      </c>
      <c r="F72" s="12" t="n">
        <v>5500</v>
      </c>
      <c r="G72" s="13" t="n">
        <f aca="false">F72-E72</f>
        <v>1609</v>
      </c>
      <c r="H72" s="14" t="n">
        <f aca="false">IF(F72&gt;0,(F72-E72)/F72,0)</f>
        <v>0.292545454545455</v>
      </c>
    </row>
    <row r="73" customFormat="false" ht="19.5" hidden="false" customHeight="true" outlineLevel="0" collapsed="false">
      <c r="A73" s="8"/>
      <c r="B73" s="1" t="s">
        <v>100</v>
      </c>
      <c r="C73" s="10" t="s">
        <v>95</v>
      </c>
      <c r="D73" s="10" t="s">
        <v>98</v>
      </c>
      <c r="E73" s="11" t="n">
        <v>7489</v>
      </c>
      <c r="F73" s="12" t="n">
        <v>9500</v>
      </c>
      <c r="G73" s="13" t="n">
        <f aca="false">F73-E73</f>
        <v>2011</v>
      </c>
      <c r="H73" s="14" t="n">
        <f aca="false">IF(F73&gt;0,(F73-E73)/F73,0)</f>
        <v>0.211684210526316</v>
      </c>
    </row>
    <row r="74" customFormat="false" ht="19.5" hidden="false" customHeight="true" outlineLevel="0" collapsed="false">
      <c r="A74" s="8"/>
      <c r="B74" s="1" t="s">
        <v>101</v>
      </c>
      <c r="C74" s="10" t="s">
        <v>95</v>
      </c>
      <c r="D74" s="10" t="s">
        <v>96</v>
      </c>
      <c r="E74" s="11" t="n">
        <v>3831.8</v>
      </c>
      <c r="F74" s="12" t="n">
        <v>5500</v>
      </c>
      <c r="G74" s="13" t="n">
        <f aca="false">F74-E74</f>
        <v>1668.2</v>
      </c>
      <c r="H74" s="14" t="n">
        <f aca="false">IF(F74&gt;0,(F74-E74)/F74,0)</f>
        <v>0.303309090909091</v>
      </c>
    </row>
    <row r="75" customFormat="false" ht="19.5" hidden="false" customHeight="true" outlineLevel="0" collapsed="false">
      <c r="A75" s="8"/>
      <c r="B75" s="1" t="s">
        <v>102</v>
      </c>
      <c r="C75" s="10" t="s">
        <v>95</v>
      </c>
      <c r="D75" s="10" t="s">
        <v>96</v>
      </c>
      <c r="E75" s="11" t="n">
        <v>3891</v>
      </c>
      <c r="F75" s="12" t="n">
        <v>5500</v>
      </c>
      <c r="G75" s="13" t="n">
        <f aca="false">F75-E75</f>
        <v>1609</v>
      </c>
      <c r="H75" s="14" t="n">
        <f aca="false">IF(F75&gt;0,(F75-E75)/F75,0)</f>
        <v>0.292545454545455</v>
      </c>
    </row>
    <row r="76" customFormat="false" ht="19.5" hidden="false" customHeight="true" outlineLevel="0" collapsed="false">
      <c r="A76" s="8"/>
      <c r="B76" s="1" t="s">
        <v>103</v>
      </c>
      <c r="C76" s="23" t="s">
        <v>104</v>
      </c>
      <c r="D76" s="23" t="s">
        <v>96</v>
      </c>
      <c r="E76" s="11" t="n">
        <v>2499</v>
      </c>
      <c r="F76" s="12" t="n">
        <v>5000</v>
      </c>
      <c r="G76" s="13" t="n">
        <f aca="false">F76-E76</f>
        <v>2501</v>
      </c>
      <c r="H76" s="14" t="n">
        <f aca="false">IF(F76&gt;0,(F76-E76)/F76,0)</f>
        <v>0.5002</v>
      </c>
    </row>
    <row r="77" customFormat="false" ht="19.5" hidden="false" customHeight="true" outlineLevel="0" collapsed="false">
      <c r="A77" s="8" t="n">
        <v>22</v>
      </c>
      <c r="B77" s="16" t="s">
        <v>105</v>
      </c>
      <c r="C77" s="17" t="s">
        <v>104</v>
      </c>
      <c r="D77" s="17" t="s">
        <v>96</v>
      </c>
      <c r="E77" s="18" t="n">
        <v>2499</v>
      </c>
      <c r="F77" s="19" t="n">
        <v>5000</v>
      </c>
      <c r="G77" s="20" t="n">
        <f aca="false">F77-E77</f>
        <v>2501</v>
      </c>
      <c r="H77" s="21" t="n">
        <f aca="false">IF(F77&gt;0,(F77-E77)/F77,0)</f>
        <v>0.5002</v>
      </c>
    </row>
    <row r="78" customFormat="false" ht="19.5" hidden="false" customHeight="true" outlineLevel="0" collapsed="false">
      <c r="A78" s="8"/>
      <c r="B78" s="16" t="s">
        <v>106</v>
      </c>
      <c r="C78" s="17" t="s">
        <v>104</v>
      </c>
      <c r="D78" s="17" t="s">
        <v>107</v>
      </c>
      <c r="E78" s="18" t="n">
        <v>1900</v>
      </c>
      <c r="F78" s="19" t="n">
        <v>4500</v>
      </c>
      <c r="G78" s="20" t="n">
        <f aca="false">F78-E78</f>
        <v>2600</v>
      </c>
      <c r="H78" s="21" t="n">
        <f aca="false">IF(F78&gt;0,(F78-E78)/F78,0)</f>
        <v>0.577777777777778</v>
      </c>
    </row>
    <row r="79" customFormat="false" ht="19.5" hidden="false" customHeight="true" outlineLevel="0" collapsed="false">
      <c r="A79" s="8" t="n">
        <v>20</v>
      </c>
      <c r="B79" s="16" t="s">
        <v>108</v>
      </c>
      <c r="C79" s="17" t="s">
        <v>104</v>
      </c>
      <c r="D79" s="17" t="s">
        <v>109</v>
      </c>
      <c r="E79" s="18" t="n">
        <v>4701</v>
      </c>
      <c r="F79" s="19" t="n">
        <v>6500</v>
      </c>
      <c r="G79" s="20" t="n">
        <f aca="false">F79-E79</f>
        <v>1799</v>
      </c>
      <c r="H79" s="21" t="n">
        <f aca="false">IF(F79&gt;0,(F79-E79)/F79,0)</f>
        <v>0.276769230769231</v>
      </c>
    </row>
    <row r="80" customFormat="false" ht="19.5" hidden="false" customHeight="true" outlineLevel="0" collapsed="false">
      <c r="A80" s="15" t="n">
        <v>21</v>
      </c>
      <c r="B80" s="22" t="s">
        <v>110</v>
      </c>
      <c r="C80" s="23" t="s">
        <v>104</v>
      </c>
      <c r="D80" s="23" t="s">
        <v>96</v>
      </c>
      <c r="E80" s="11" t="n">
        <v>2499</v>
      </c>
      <c r="F80" s="12" t="n">
        <v>5000</v>
      </c>
      <c r="G80" s="13" t="n">
        <f aca="false">F80-E80</f>
        <v>2501</v>
      </c>
      <c r="H80" s="14" t="n">
        <f aca="false">IF(F80&gt;0,(F80-E80)/F80,0)</f>
        <v>0.5002</v>
      </c>
    </row>
    <row r="81" customFormat="false" ht="19.5" hidden="false" customHeight="true" outlineLevel="0" collapsed="false">
      <c r="A81" s="8" t="n">
        <v>24</v>
      </c>
      <c r="B81" s="16" t="s">
        <v>111</v>
      </c>
      <c r="C81" s="17" t="s">
        <v>104</v>
      </c>
      <c r="D81" s="17" t="s">
        <v>96</v>
      </c>
      <c r="E81" s="18" t="n">
        <v>3891</v>
      </c>
      <c r="F81" s="19" t="n">
        <v>5500</v>
      </c>
      <c r="G81" s="20" t="n">
        <f aca="false">F81-E81</f>
        <v>1609</v>
      </c>
      <c r="H81" s="21" t="n">
        <f aca="false">IF(F81&gt;0,(F81-E81)/F81,0)</f>
        <v>0.292545454545455</v>
      </c>
    </row>
    <row r="82" customFormat="false" ht="19.5" hidden="false" customHeight="true" outlineLevel="0" collapsed="false">
      <c r="A82" s="15" t="n">
        <v>23</v>
      </c>
      <c r="B82" s="22" t="s">
        <v>112</v>
      </c>
      <c r="C82" s="23" t="s">
        <v>104</v>
      </c>
      <c r="D82" s="23" t="s">
        <v>96</v>
      </c>
      <c r="E82" s="11" t="n">
        <v>3832</v>
      </c>
      <c r="F82" s="12" t="n">
        <v>5500</v>
      </c>
      <c r="G82" s="13" t="n">
        <f aca="false">F82-E82</f>
        <v>1668</v>
      </c>
      <c r="H82" s="14" t="n">
        <f aca="false">IF(F82&gt;0,(F82-E82)/F82,0)</f>
        <v>0.303272727272727</v>
      </c>
    </row>
    <row r="83" customFormat="false" ht="19.5" hidden="false" customHeight="true" outlineLevel="0" collapsed="false">
      <c r="A83" s="15" t="n">
        <v>19</v>
      </c>
      <c r="B83" s="22" t="s">
        <v>113</v>
      </c>
      <c r="C83" s="23" t="s">
        <v>104</v>
      </c>
      <c r="D83" s="23" t="s">
        <v>19</v>
      </c>
      <c r="E83" s="11" t="n">
        <v>5117</v>
      </c>
      <c r="F83" s="12" t="n">
        <v>8000</v>
      </c>
      <c r="G83" s="13" t="n">
        <f aca="false">F83-E83</f>
        <v>2883</v>
      </c>
      <c r="H83" s="14" t="n">
        <f aca="false">IF(F83&gt;0,(F83-E83)/F83,0)</f>
        <v>0.360375</v>
      </c>
    </row>
    <row r="84" customFormat="false" ht="19.5" hidden="false" customHeight="true" outlineLevel="0" collapsed="false">
      <c r="A84" s="8" t="n">
        <v>18</v>
      </c>
      <c r="B84" s="16" t="s">
        <v>114</v>
      </c>
      <c r="C84" s="17" t="s">
        <v>104</v>
      </c>
      <c r="D84" s="17" t="s">
        <v>115</v>
      </c>
      <c r="E84" s="18" t="n">
        <v>8866</v>
      </c>
      <c r="F84" s="19" t="n">
        <v>12000</v>
      </c>
      <c r="G84" s="20" t="n">
        <f aca="false">F84-E84</f>
        <v>3134</v>
      </c>
      <c r="H84" s="21" t="n">
        <f aca="false">IF(F84&gt;0,(F84-E84)/F84,0)</f>
        <v>0.261166666666667</v>
      </c>
    </row>
    <row r="85" customFormat="false" ht="19.5" hidden="false" customHeight="true" outlineLevel="0" collapsed="false">
      <c r="A85" s="26"/>
      <c r="B85" s="26"/>
      <c r="C85" s="26"/>
      <c r="D85" s="26"/>
      <c r="E85" s="27"/>
      <c r="F85" s="27"/>
      <c r="G85" s="27"/>
      <c r="H85" s="28"/>
    </row>
    <row r="86" customFormat="false" ht="19.5" hidden="false" customHeight="true" outlineLevel="0" collapsed="false">
      <c r="A86" s="26"/>
      <c r="B86" s="26"/>
      <c r="C86" s="26"/>
      <c r="D86" s="26"/>
      <c r="E86" s="27"/>
      <c r="F86" s="27"/>
      <c r="G86" s="27"/>
      <c r="H86" s="28"/>
    </row>
    <row r="87" customFormat="false" ht="19.5" hidden="false" customHeight="true" outlineLevel="0" collapsed="false">
      <c r="A87" s="26"/>
      <c r="B87" s="26"/>
      <c r="C87" s="26"/>
      <c r="D87" s="26"/>
      <c r="E87" s="27"/>
      <c r="F87" s="27"/>
      <c r="G87" s="27"/>
      <c r="H87" s="28"/>
    </row>
    <row r="88" customFormat="false" ht="19.5" hidden="false" customHeight="true" outlineLevel="0" collapsed="false">
      <c r="A88" s="26"/>
      <c r="B88" s="26"/>
      <c r="C88" s="26"/>
      <c r="D88" s="26"/>
      <c r="E88" s="27"/>
      <c r="F88" s="27"/>
      <c r="G88" s="27"/>
      <c r="H88" s="28"/>
    </row>
    <row r="89" customFormat="false" ht="19.5" hidden="false" customHeight="true" outlineLevel="0" collapsed="false">
      <c r="A89" s="26"/>
      <c r="B89" s="26"/>
      <c r="C89" s="26"/>
      <c r="D89" s="26"/>
      <c r="E89" s="27"/>
      <c r="F89" s="27"/>
      <c r="G89" s="27"/>
      <c r="H89" s="28"/>
    </row>
    <row r="90" customFormat="false" ht="19.5" hidden="false" customHeight="true" outlineLevel="0" collapsed="false">
      <c r="A90" s="26"/>
      <c r="B90" s="26"/>
      <c r="C90" s="26"/>
      <c r="D90" s="26"/>
      <c r="E90" s="27"/>
      <c r="F90" s="27"/>
      <c r="G90" s="27"/>
      <c r="H90" s="28"/>
    </row>
    <row r="91" customFormat="false" ht="19.5" hidden="false" customHeight="true" outlineLevel="0" collapsed="false">
      <c r="A91" s="26"/>
      <c r="B91" s="26"/>
      <c r="C91" s="26"/>
      <c r="D91" s="26"/>
      <c r="E91" s="27"/>
      <c r="F91" s="27"/>
      <c r="G91" s="27"/>
      <c r="H91" s="28"/>
    </row>
    <row r="92" customFormat="false" ht="19.5" hidden="false" customHeight="true" outlineLevel="0" collapsed="false">
      <c r="A92" s="26"/>
      <c r="B92" s="26"/>
      <c r="C92" s="26"/>
      <c r="D92" s="26"/>
      <c r="E92" s="27"/>
      <c r="F92" s="27"/>
      <c r="G92" s="27"/>
      <c r="H92" s="28"/>
    </row>
    <row r="93" customFormat="false" ht="19.5" hidden="false" customHeight="true" outlineLevel="0" collapsed="false">
      <c r="A93" s="26"/>
      <c r="B93" s="26"/>
      <c r="C93" s="26"/>
      <c r="D93" s="26"/>
      <c r="E93" s="27"/>
      <c r="F93" s="27"/>
      <c r="G93" s="27"/>
      <c r="H93" s="28"/>
    </row>
    <row r="94" customFormat="false" ht="19.5" hidden="false" customHeight="true" outlineLevel="0" collapsed="false">
      <c r="A94" s="26"/>
      <c r="B94" s="26"/>
      <c r="C94" s="26"/>
      <c r="D94" s="26"/>
      <c r="E94" s="27"/>
      <c r="F94" s="27"/>
      <c r="G94" s="27"/>
      <c r="H94" s="28"/>
    </row>
    <row r="95" customFormat="false" ht="19.5" hidden="false" customHeight="true" outlineLevel="0" collapsed="false">
      <c r="A95" s="26"/>
      <c r="B95" s="26"/>
      <c r="C95" s="26"/>
      <c r="D95" s="26"/>
      <c r="E95" s="27"/>
      <c r="F95" s="27"/>
      <c r="G95" s="27"/>
      <c r="H95" s="28"/>
    </row>
    <row r="96" customFormat="false" ht="19.5" hidden="false" customHeight="true" outlineLevel="0" collapsed="false">
      <c r="A96" s="26"/>
      <c r="B96" s="26"/>
      <c r="C96" s="26"/>
      <c r="D96" s="26"/>
      <c r="E96" s="27"/>
      <c r="F96" s="27"/>
      <c r="G96" s="27"/>
      <c r="H96" s="28"/>
    </row>
    <row r="97" customFormat="false" ht="19.5" hidden="false" customHeight="true" outlineLevel="0" collapsed="false">
      <c r="A97" s="26"/>
      <c r="B97" s="26"/>
      <c r="C97" s="26"/>
      <c r="D97" s="26"/>
      <c r="E97" s="27"/>
      <c r="F97" s="27"/>
      <c r="G97" s="27"/>
      <c r="H97" s="28"/>
    </row>
    <row r="98" customFormat="false" ht="19.5" hidden="false" customHeight="true" outlineLevel="0" collapsed="false">
      <c r="A98" s="26"/>
      <c r="B98" s="26"/>
      <c r="C98" s="26"/>
      <c r="D98" s="26"/>
      <c r="E98" s="27"/>
      <c r="F98" s="27"/>
      <c r="G98" s="27"/>
      <c r="H98" s="28"/>
    </row>
    <row r="99" customFormat="false" ht="19.5" hidden="false" customHeight="true" outlineLevel="0" collapsed="false">
      <c r="A99" s="26"/>
      <c r="B99" s="26"/>
      <c r="C99" s="26"/>
      <c r="D99" s="26"/>
      <c r="E99" s="27"/>
      <c r="F99" s="27"/>
      <c r="G99" s="27"/>
      <c r="H99" s="28"/>
    </row>
    <row r="100" customFormat="false" ht="19.5" hidden="false" customHeight="true" outlineLevel="0" collapsed="false">
      <c r="A100" s="26"/>
      <c r="B100" s="26"/>
      <c r="C100" s="26"/>
      <c r="D100" s="26"/>
      <c r="E100" s="27"/>
      <c r="F100" s="27"/>
      <c r="G100" s="27"/>
      <c r="H100" s="28"/>
    </row>
    <row r="101" customFormat="false" ht="19.5" hidden="false" customHeight="true" outlineLevel="0" collapsed="false">
      <c r="A101" s="26"/>
      <c r="B101" s="26"/>
      <c r="C101" s="26"/>
      <c r="D101" s="26"/>
      <c r="E101" s="27"/>
      <c r="F101" s="27"/>
      <c r="G101" s="27"/>
      <c r="H101" s="28"/>
    </row>
    <row r="102" customFormat="false" ht="19.5" hidden="false" customHeight="true" outlineLevel="0" collapsed="false">
      <c r="A102" s="26"/>
      <c r="B102" s="26"/>
      <c r="C102" s="26"/>
      <c r="D102" s="26"/>
      <c r="E102" s="27"/>
      <c r="F102" s="27"/>
      <c r="G102" s="27"/>
      <c r="H102" s="28"/>
    </row>
    <row r="103" customFormat="false" ht="19.5" hidden="false" customHeight="true" outlineLevel="0" collapsed="false">
      <c r="A103" s="26"/>
      <c r="B103" s="26"/>
      <c r="C103" s="26"/>
      <c r="D103" s="26"/>
      <c r="E103" s="27"/>
      <c r="F103" s="27"/>
      <c r="G103" s="27"/>
      <c r="H103" s="28"/>
    </row>
    <row r="104" customFormat="false" ht="19.5" hidden="false" customHeight="true" outlineLevel="0" collapsed="false">
      <c r="A104" s="26"/>
      <c r="B104" s="26"/>
      <c r="C104" s="26"/>
      <c r="D104" s="26"/>
      <c r="E104" s="27"/>
      <c r="F104" s="27"/>
      <c r="G104" s="27"/>
      <c r="H104" s="28"/>
    </row>
    <row r="105" customFormat="false" ht="14.25" hidden="false" customHeight="true" outlineLevel="0" collapsed="false">
      <c r="A105" s="26"/>
      <c r="B105" s="26"/>
      <c r="C105" s="26"/>
      <c r="D105" s="26"/>
      <c r="E105" s="27"/>
      <c r="F105" s="27"/>
      <c r="G105" s="27"/>
      <c r="H105" s="2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false" showRowColHeaders="true" showZeros="true" rightToLeft="false" tabSelected="true" showOutlineSymbols="true" defaultGridColor="true" view="normal" topLeftCell="D1" colorId="64" zoomScale="162" zoomScaleNormal="162" zoomScalePageLayoutView="100" workbookViewId="0">
      <pane xSplit="0" ySplit="3" topLeftCell="A4" activePane="bottomLeft" state="frozen"/>
      <selection pane="topLeft" activeCell="D1" activeCellId="0" sqref="D1"/>
      <selection pane="bottomLeft" activeCell="A4" activeCellId="0" sqref="A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9" width="12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37.5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117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30" t="s">
        <v>118</v>
      </c>
      <c r="B3" s="31" t="s">
        <v>119</v>
      </c>
      <c r="C3" s="32" t="s">
        <v>4</v>
      </c>
      <c r="D3" s="32" t="s">
        <v>3</v>
      </c>
      <c r="E3" s="33" t="s">
        <v>120</v>
      </c>
      <c r="F3" s="33" t="s">
        <v>121</v>
      </c>
      <c r="G3" s="34" t="s">
        <v>122</v>
      </c>
      <c r="H3" s="35" t="s">
        <v>123</v>
      </c>
      <c r="I3" s="36" t="s">
        <v>124</v>
      </c>
      <c r="J3" s="37" t="s">
        <v>125</v>
      </c>
      <c r="K3" s="30" t="s">
        <v>126</v>
      </c>
    </row>
    <row r="4" customFormat="false" ht="19.5" hidden="false" customHeight="true" outlineLevel="0" collapsed="false">
      <c r="A4" s="38"/>
      <c r="B4" s="39" t="n">
        <v>46176</v>
      </c>
      <c r="C4" s="40" t="s">
        <v>58</v>
      </c>
      <c r="D4" s="40" t="s">
        <v>64</v>
      </c>
      <c r="E4" s="41" t="n">
        <f aca="false">IFERROR(VLOOKUP(D4,'📦 Productos'!B:F,5,0),"")</f>
        <v>8550</v>
      </c>
      <c r="F4" s="42" t="n">
        <v>2</v>
      </c>
      <c r="G4" s="41" t="n">
        <f aca="false">IFERROR(IF(E4*F4&gt;0,E4*F4,""),"")</f>
        <v>17100</v>
      </c>
      <c r="H4" s="41" t="n">
        <f aca="false">IFERROR(VLOOKUP(D4,'📦 Productos'!B:E,4,0)*F4,0)</f>
        <v>12634</v>
      </c>
      <c r="I4" s="41" t="n">
        <f aca="false">IFERROR(IF(ISNUMBER(G4),G4-H4,""),"")</f>
        <v>4466</v>
      </c>
      <c r="J4" s="40"/>
      <c r="K4" s="43" t="str">
        <f aca="false">IF(A4&lt;&gt;"",SUMIF($A$4:$A$107,A4,$G$4:$G$107),"")</f>
        <v/>
      </c>
    </row>
    <row r="5" customFormat="false" ht="19.5" hidden="false" customHeight="true" outlineLevel="0" collapsed="false">
      <c r="A5" s="44"/>
      <c r="B5" s="45" t="n">
        <v>46176</v>
      </c>
      <c r="C5" s="46" t="s">
        <v>58</v>
      </c>
      <c r="D5" s="46" t="s">
        <v>64</v>
      </c>
      <c r="E5" s="47" t="n">
        <f aca="false">IFERROR(VLOOKUP(D5,'📦 Productos'!B:F,5,0),"")</f>
        <v>8550</v>
      </c>
      <c r="F5" s="48" t="n">
        <v>1</v>
      </c>
      <c r="G5" s="47" t="n">
        <f aca="false">IFERROR(IF(E5*F5&gt;0,E5*F5,""),"")</f>
        <v>8550</v>
      </c>
      <c r="H5" s="47" t="n">
        <f aca="false">IFERROR(VLOOKUP(D5,'📦 Productos'!B:E,4,0)*F5,0)</f>
        <v>6317</v>
      </c>
      <c r="I5" s="47" t="n">
        <f aca="false">IFERROR(IF(ISNUMBER(G5),G5-H5,""),"")</f>
        <v>2233</v>
      </c>
      <c r="J5" s="46"/>
      <c r="K5" s="49" t="str">
        <f aca="false">IF(A5&lt;&gt;"",SUMIF($A$4:$A$107,A5,$G$4:$G$107),"")</f>
        <v/>
      </c>
    </row>
    <row r="6" customFormat="false" ht="19.5" hidden="false" customHeight="true" outlineLevel="0" collapsed="false">
      <c r="A6" s="38"/>
      <c r="B6" s="39" t="n">
        <v>46176</v>
      </c>
      <c r="C6" s="40" t="s">
        <v>32</v>
      </c>
      <c r="D6" s="40" t="s">
        <v>31</v>
      </c>
      <c r="E6" s="41" t="n">
        <f aca="false">IFERROR(VLOOKUP(D6,'📦 Productos'!B:F,5,0),"")</f>
        <v>1600</v>
      </c>
      <c r="F6" s="42" t="n">
        <v>1</v>
      </c>
      <c r="G6" s="41" t="n">
        <f aca="false">IFERROR(IF(E6*F6&gt;0,E6*F6,""),"")</f>
        <v>1600</v>
      </c>
      <c r="H6" s="41" t="n">
        <f aca="false">IFERROR(VLOOKUP(D6,'📦 Productos'!B:E,4,0)*F6,0)</f>
        <v>1060</v>
      </c>
      <c r="I6" s="41" t="n">
        <f aca="false">IFERROR(IF(ISNUMBER(G6),G6-H6,""),"")</f>
        <v>540</v>
      </c>
      <c r="J6" s="40"/>
      <c r="K6" s="43" t="str">
        <f aca="false">IF(A6&lt;&gt;"",SUMIF($A$4:$A$107,A6,$G$4:$G$107),"")</f>
        <v/>
      </c>
    </row>
    <row r="7" customFormat="false" ht="19.5" hidden="false" customHeight="true" outlineLevel="0" collapsed="false">
      <c r="A7" s="44"/>
      <c r="B7" s="45" t="n">
        <v>46176</v>
      </c>
      <c r="C7" s="46" t="s">
        <v>32</v>
      </c>
      <c r="D7" s="46" t="s">
        <v>45</v>
      </c>
      <c r="E7" s="47" t="n">
        <f aca="false">IFERROR(VLOOKUP(D7,'📦 Productos'!B:F,5,0),"")</f>
        <v>1200</v>
      </c>
      <c r="F7" s="48" t="n">
        <v>1</v>
      </c>
      <c r="G7" s="47" t="n">
        <f aca="false">IFERROR(IF(E7*F7&gt;0,E7*F7,""),"")</f>
        <v>1200</v>
      </c>
      <c r="H7" s="47" t="n">
        <f aca="false">IFERROR(VLOOKUP(D7,'📦 Productos'!B:E,4,0)*F7,0)</f>
        <v>580</v>
      </c>
      <c r="I7" s="47" t="n">
        <f aca="false">IFERROR(IF(ISNUMBER(G7),G7-H7,""),"")</f>
        <v>620</v>
      </c>
      <c r="J7" s="46"/>
      <c r="K7" s="49" t="str">
        <f aca="false">IF(A7&lt;&gt;"",SUMIF($A$4:$A$107,A7,$G$4:$G$107),"")</f>
        <v/>
      </c>
    </row>
    <row r="8" customFormat="false" ht="19.5" hidden="false" customHeight="true" outlineLevel="0" collapsed="false">
      <c r="A8" s="38"/>
      <c r="B8" s="39" t="n">
        <v>46176</v>
      </c>
      <c r="C8" s="40" t="s">
        <v>58</v>
      </c>
      <c r="D8" s="40" t="s">
        <v>76</v>
      </c>
      <c r="E8" s="41" t="n">
        <f aca="false">IFERROR(VLOOKUP(D8,'📦 Productos'!B:F,5,0),"")</f>
        <v>1950</v>
      </c>
      <c r="F8" s="42" t="n">
        <v>1</v>
      </c>
      <c r="G8" s="41" t="n">
        <f aca="false">IFERROR(IF(E8*F8&gt;0,E8*F8,""),"")</f>
        <v>1950</v>
      </c>
      <c r="H8" s="41" t="n">
        <f aca="false">IFERROR(VLOOKUP(D8,'📦 Productos'!B:E,4,0)*F8,0)</f>
        <v>1163</v>
      </c>
      <c r="I8" s="41" t="n">
        <f aca="false">IFERROR(IF(ISNUMBER(G8),G8-H8,""),"")</f>
        <v>787</v>
      </c>
      <c r="J8" s="40"/>
      <c r="K8" s="43" t="str">
        <f aca="false">IF(A8&lt;&gt;"",SUMIF($A$4:$A$107,A8,$G$4:$G$107),"")</f>
        <v/>
      </c>
    </row>
    <row r="9" customFormat="false" ht="19.5" hidden="false" customHeight="true" outlineLevel="0" collapsed="false">
      <c r="A9" s="44"/>
      <c r="B9" s="45" t="n">
        <v>46176</v>
      </c>
      <c r="C9" s="46" t="s">
        <v>32</v>
      </c>
      <c r="D9" s="46" t="s">
        <v>47</v>
      </c>
      <c r="E9" s="47" t="n">
        <f aca="false">IFERROR(VLOOKUP(D9,'📦 Productos'!B:F,5,0),"")</f>
        <v>2300</v>
      </c>
      <c r="F9" s="48" t="n">
        <v>1</v>
      </c>
      <c r="G9" s="47" t="n">
        <f aca="false">IFERROR(IF(E9*F9&gt;0,E9*F9,""),"")</f>
        <v>2300</v>
      </c>
      <c r="H9" s="47" t="n">
        <f aca="false">IFERROR(VLOOKUP(D9,'📦 Productos'!B:E,4,0)*F9,0)</f>
        <v>1450</v>
      </c>
      <c r="I9" s="47" t="n">
        <f aca="false">IFERROR(IF(ISNUMBER(G9),G9-H9,""),"")</f>
        <v>850</v>
      </c>
      <c r="J9" s="46"/>
      <c r="K9" s="49" t="str">
        <f aca="false">IF(A9&lt;&gt;"",SUMIF($A$4:$A$107,A9,$G$4:$G$107),"")</f>
        <v/>
      </c>
    </row>
    <row r="10" customFormat="false" ht="19.5" hidden="false" customHeight="true" outlineLevel="0" collapsed="false">
      <c r="A10" s="38"/>
      <c r="B10" s="39" t="n">
        <v>46176</v>
      </c>
      <c r="C10" s="40" t="s">
        <v>58</v>
      </c>
      <c r="D10" s="40" t="s">
        <v>64</v>
      </c>
      <c r="E10" s="41" t="n">
        <f aca="false">IFERROR(VLOOKUP(D10,'📦 Productos'!B:F,5,0),"")</f>
        <v>8550</v>
      </c>
      <c r="F10" s="42" t="n">
        <v>1</v>
      </c>
      <c r="G10" s="41" t="n">
        <f aca="false">IFERROR(IF(E10*F10&gt;0,E10*F10,""),"")</f>
        <v>8550</v>
      </c>
      <c r="H10" s="41" t="n">
        <f aca="false">IFERROR(VLOOKUP(D10,'📦 Productos'!B:E,4,0)*F10,0)</f>
        <v>6317</v>
      </c>
      <c r="I10" s="41" t="n">
        <f aca="false">IFERROR(IF(ISNUMBER(G10),G10-H10,""),"")</f>
        <v>2233</v>
      </c>
      <c r="J10" s="40"/>
      <c r="K10" s="43" t="str">
        <f aca="false">IF(A10&lt;&gt;"",SUMIF($A$4:$A$107,A10,$G$4:$G$107),"")</f>
        <v/>
      </c>
    </row>
    <row r="11" customFormat="false" ht="19.5" hidden="false" customHeight="true" outlineLevel="0" collapsed="false">
      <c r="A11" s="44"/>
      <c r="B11" s="45" t="n">
        <v>46176</v>
      </c>
      <c r="C11" s="46" t="s">
        <v>58</v>
      </c>
      <c r="D11" s="46" t="s">
        <v>75</v>
      </c>
      <c r="E11" s="47" t="n">
        <f aca="false">IFERROR(VLOOKUP(D11,'📦 Productos'!B:F,5,0),"")</f>
        <v>7800</v>
      </c>
      <c r="F11" s="48" t="n">
        <v>1</v>
      </c>
      <c r="G11" s="47" t="n">
        <f aca="false">IFERROR(IF(E11*F11&gt;0,E11*F11,""),"")</f>
        <v>7800</v>
      </c>
      <c r="H11" s="47" t="n">
        <f aca="false">IFERROR(VLOOKUP(D11,'📦 Productos'!B:E,4,0)*F11,0)</f>
        <v>5817</v>
      </c>
      <c r="I11" s="47" t="n">
        <f aca="false">IFERROR(IF(ISNUMBER(G11),G11-H11,""),"")</f>
        <v>1983</v>
      </c>
      <c r="J11" s="46"/>
      <c r="K11" s="49" t="str">
        <f aca="false">IF(A11&lt;&gt;"",SUMIF($A$4:$A$107,A11,$G$4:$G$107),"")</f>
        <v/>
      </c>
    </row>
    <row r="12" customFormat="false" ht="19.5" hidden="false" customHeight="true" outlineLevel="0" collapsed="false">
      <c r="A12" s="38"/>
      <c r="B12" s="39" t="n">
        <v>46176</v>
      </c>
      <c r="C12" s="40" t="s">
        <v>58</v>
      </c>
      <c r="D12" s="40" t="s">
        <v>80</v>
      </c>
      <c r="E12" s="41" t="n">
        <f aca="false">IFERROR(VLOOKUP(D12,'📦 Productos'!B:F,5,0),"")</f>
        <v>10000</v>
      </c>
      <c r="F12" s="42" t="n">
        <v>2</v>
      </c>
      <c r="G12" s="41" t="n">
        <f aca="false">IFERROR(IF(E12*F12&gt;0,E12*F12,""),"")</f>
        <v>20000</v>
      </c>
      <c r="H12" s="41" t="n">
        <f aca="false">IFERROR(VLOOKUP(D12,'📦 Productos'!B:E,4,0)*F12,0)</f>
        <v>16200</v>
      </c>
      <c r="I12" s="41" t="n">
        <f aca="false">IFERROR(IF(ISNUMBER(G12),G12-H12,""),"")</f>
        <v>3800</v>
      </c>
      <c r="J12" s="40"/>
      <c r="K12" s="43" t="str">
        <f aca="false">IF(A12&lt;&gt;"",SUMIF($A$4:$A$107,A12,$G$4:$G$107),"")</f>
        <v/>
      </c>
    </row>
    <row r="13" customFormat="false" ht="19.5" hidden="false" customHeight="true" outlineLevel="0" collapsed="false">
      <c r="A13" s="44"/>
      <c r="B13" s="45" t="n">
        <v>46177</v>
      </c>
      <c r="C13" s="46" t="s">
        <v>32</v>
      </c>
      <c r="D13" s="46" t="s">
        <v>49</v>
      </c>
      <c r="E13" s="47" t="n">
        <f aca="false">IFERROR(VLOOKUP(D13,'📦 Productos'!B:F,5,0),"")</f>
        <v>1500</v>
      </c>
      <c r="F13" s="48" t="n">
        <v>1</v>
      </c>
      <c r="G13" s="47" t="n">
        <f aca="false">IFERROR(IF(E13*F13&gt;0,E13*F13,""),"")</f>
        <v>1500</v>
      </c>
      <c r="H13" s="47" t="n">
        <f aca="false">IFERROR(VLOOKUP(D13,'📦 Productos'!B:E,4,0)*F13,0)</f>
        <v>847</v>
      </c>
      <c r="I13" s="47" t="n">
        <f aca="false">IFERROR(IF(ISNUMBER(G13),G13-H13,""),"")</f>
        <v>653</v>
      </c>
      <c r="J13" s="46"/>
      <c r="K13" s="49" t="str">
        <f aca="false">IF(A13&lt;&gt;"",SUMIF($A$4:$A$107,A13,$G$4:$G$107),"")</f>
        <v/>
      </c>
    </row>
    <row r="14" customFormat="false" ht="19.5" hidden="false" customHeight="true" outlineLevel="0" collapsed="false">
      <c r="A14" s="38"/>
      <c r="B14" s="39" t="n">
        <v>46177</v>
      </c>
      <c r="C14" s="40" t="s">
        <v>32</v>
      </c>
      <c r="D14" s="40" t="s">
        <v>42</v>
      </c>
      <c r="E14" s="41" t="n">
        <f aca="false">IFERROR(VLOOKUP(D14,'📦 Productos'!B:F,5,0),"")</f>
        <v>4750</v>
      </c>
      <c r="F14" s="42" t="n">
        <v>1</v>
      </c>
      <c r="G14" s="41" t="n">
        <f aca="false">IFERROR(IF(E14*F14&gt;0,E14*F14,""),"")</f>
        <v>4750</v>
      </c>
      <c r="H14" s="41" t="n">
        <f aca="false">IFERROR(VLOOKUP(D14,'📦 Productos'!B:E,4,0)*F14,0)</f>
        <v>3410</v>
      </c>
      <c r="I14" s="41" t="n">
        <f aca="false">IFERROR(IF(ISNUMBER(G14),G14-H14,""),"")</f>
        <v>1340</v>
      </c>
      <c r="J14" s="40" t="s">
        <v>127</v>
      </c>
      <c r="K14" s="43" t="str">
        <f aca="false">IF(A14&lt;&gt;"",SUMIF($A$4:$A$107,A14,$G$4:$G$107),"")</f>
        <v/>
      </c>
    </row>
    <row r="15" customFormat="false" ht="19.5" hidden="false" customHeight="true" outlineLevel="0" collapsed="false">
      <c r="A15" s="44"/>
      <c r="B15" s="45" t="n">
        <v>46177</v>
      </c>
      <c r="C15" s="46" t="s">
        <v>58</v>
      </c>
      <c r="D15" s="46" t="s">
        <v>64</v>
      </c>
      <c r="E15" s="47" t="n">
        <f aca="false">IFERROR(VLOOKUP(D15,'📦 Productos'!B:F,5,0),"")</f>
        <v>8550</v>
      </c>
      <c r="F15" s="48" t="n">
        <v>1</v>
      </c>
      <c r="G15" s="47" t="n">
        <f aca="false">IFERROR(IF(E15*F15&gt;0,E15*F15,""),"")</f>
        <v>8550</v>
      </c>
      <c r="H15" s="47" t="n">
        <f aca="false">IFERROR(VLOOKUP(D15,'📦 Productos'!B:E,4,0)*F15,0)</f>
        <v>6317</v>
      </c>
      <c r="I15" s="47" t="n">
        <f aca="false">IFERROR(IF(ISNUMBER(G15),G15-H15,""),"")</f>
        <v>2233</v>
      </c>
      <c r="J15" s="46" t="s">
        <v>127</v>
      </c>
      <c r="K15" s="49" t="str">
        <f aca="false">IF(A15&lt;&gt;"",SUMIF($A$4:$A$107,A15,$G$4:$G$107),"")</f>
        <v/>
      </c>
    </row>
    <row r="16" customFormat="false" ht="19.5" hidden="false" customHeight="true" outlineLevel="0" collapsed="false">
      <c r="A16" s="38"/>
      <c r="B16" s="39" t="n">
        <v>46177</v>
      </c>
      <c r="C16" s="40" t="s">
        <v>104</v>
      </c>
      <c r="D16" s="40" t="s">
        <v>113</v>
      </c>
      <c r="E16" s="41" t="n">
        <v>7500</v>
      </c>
      <c r="F16" s="42" t="n">
        <v>1</v>
      </c>
      <c r="G16" s="41" t="n">
        <f aca="false">IFERROR(IF(E16*F16&gt;0,E16*F16,""),"")</f>
        <v>7500</v>
      </c>
      <c r="H16" s="41" t="n">
        <f aca="false">IFERROR(VLOOKUP(D16,'📦 Productos'!B:E,4,0)*F16,0)</f>
        <v>5117</v>
      </c>
      <c r="I16" s="41" t="n">
        <f aca="false">IFERROR(IF(ISNUMBER(G16),G16-H16,""),"")</f>
        <v>2383</v>
      </c>
      <c r="J16" s="40" t="s">
        <v>127</v>
      </c>
      <c r="K16" s="43" t="str">
        <f aca="false">IF(A16&lt;&gt;"",SUMIF($A$4:$A$107,A16,$G$4:$G$107),"")</f>
        <v/>
      </c>
    </row>
    <row r="17" customFormat="false" ht="19.5" hidden="false" customHeight="true" outlineLevel="0" collapsed="false">
      <c r="A17" s="44"/>
      <c r="B17" s="45" t="n">
        <v>46177</v>
      </c>
      <c r="C17" s="46" t="s">
        <v>58</v>
      </c>
      <c r="D17" s="46" t="s">
        <v>75</v>
      </c>
      <c r="E17" s="47" t="n">
        <f aca="false">IFERROR(VLOOKUP(D17,'📦 Productos'!B:F,5,0),"")</f>
        <v>7800</v>
      </c>
      <c r="F17" s="48" t="n">
        <v>2</v>
      </c>
      <c r="G17" s="47" t="n">
        <f aca="false">IFERROR(IF(E17*F17&gt;0,E17*F17,""),"")</f>
        <v>15600</v>
      </c>
      <c r="H17" s="47" t="n">
        <f aca="false">IFERROR(VLOOKUP(D17,'📦 Productos'!B:E,4,0)*F17,0)</f>
        <v>11634</v>
      </c>
      <c r="I17" s="47" t="n">
        <f aca="false">IFERROR(IF(ISNUMBER(G17),G17-H17,""),"")</f>
        <v>3966</v>
      </c>
      <c r="J17" s="46" t="s">
        <v>127</v>
      </c>
      <c r="K17" s="49" t="str">
        <f aca="false">IF(A17&lt;&gt;"",SUMIF($A$4:$A$107,A17,$G$4:$G$107),"")</f>
        <v/>
      </c>
    </row>
    <row r="18" customFormat="false" ht="19.5" hidden="false" customHeight="true" outlineLevel="0" collapsed="false">
      <c r="A18" s="38"/>
      <c r="B18" s="39" t="n">
        <v>46177</v>
      </c>
      <c r="C18" s="40" t="s">
        <v>32</v>
      </c>
      <c r="D18" s="40" t="s">
        <v>38</v>
      </c>
      <c r="E18" s="41" t="n">
        <f aca="false">IFERROR(VLOOKUP(D18,'📦 Productos'!B:F,5,0),"")</f>
        <v>19900</v>
      </c>
      <c r="F18" s="42" t="n">
        <v>0.125</v>
      </c>
      <c r="G18" s="41" t="n">
        <f aca="false">IFERROR(IF(E18*F18&gt;0,E18*F18,""),"")</f>
        <v>2487.5</v>
      </c>
      <c r="H18" s="41" t="n">
        <f aca="false">IFERROR(VLOOKUP(D18,'📦 Productos'!B:E,4,0)*F18,0)</f>
        <v>1687.5</v>
      </c>
      <c r="I18" s="41" t="n">
        <f aca="false">IFERROR(IF(ISNUMBER(G18),G18-H18,""),"")</f>
        <v>800</v>
      </c>
      <c r="J18" s="40" t="s">
        <v>127</v>
      </c>
      <c r="K18" s="43" t="str">
        <f aca="false">IF(A18&lt;&gt;"",SUMIF($A$4:$A$107,A18,$G$4:$G$107),"")</f>
        <v/>
      </c>
    </row>
    <row r="19" customFormat="false" ht="19.5" hidden="false" customHeight="true" outlineLevel="0" collapsed="false">
      <c r="A19" s="44"/>
      <c r="B19" s="45" t="n">
        <v>46177</v>
      </c>
      <c r="C19" s="46" t="s">
        <v>58</v>
      </c>
      <c r="D19" s="46" t="s">
        <v>64</v>
      </c>
      <c r="E19" s="47" t="n">
        <f aca="false">IFERROR(VLOOKUP(D19,'📦 Productos'!B:F,5,0),"")</f>
        <v>8550</v>
      </c>
      <c r="F19" s="48" t="n">
        <v>1</v>
      </c>
      <c r="G19" s="47" t="n">
        <f aca="false">IFERROR(IF(E19*F19&gt;0,E19*F19,""),"")</f>
        <v>8550</v>
      </c>
      <c r="H19" s="47" t="n">
        <f aca="false">IFERROR(VLOOKUP(D19,'📦 Productos'!B:E,4,0)*F19,0)</f>
        <v>6317</v>
      </c>
      <c r="I19" s="47" t="n">
        <f aca="false">IFERROR(IF(ISNUMBER(G19),G19-H19,""),"")</f>
        <v>2233</v>
      </c>
      <c r="J19" s="46" t="s">
        <v>127</v>
      </c>
      <c r="K19" s="49" t="str">
        <f aca="false">IF(A19&lt;&gt;"",SUMIF($A$4:$A$107,A19,$G$4:$G$107),"")</f>
        <v/>
      </c>
    </row>
    <row r="20" customFormat="false" ht="19.5" hidden="false" customHeight="true" outlineLevel="0" collapsed="false">
      <c r="A20" s="38"/>
      <c r="B20" s="39" t="n">
        <v>46177</v>
      </c>
      <c r="C20" s="40" t="s">
        <v>104</v>
      </c>
      <c r="D20" s="40" t="s">
        <v>108</v>
      </c>
      <c r="E20" s="41" t="n">
        <f aca="false">IFERROR(VLOOKUP(D20,'📦 Productos'!B:F,5,0),"")</f>
        <v>6500</v>
      </c>
      <c r="F20" s="42" t="n">
        <v>1</v>
      </c>
      <c r="G20" s="41" t="n">
        <f aca="false">IFERROR(IF(E20*F20&gt;0,E20*F20,""),"")</f>
        <v>6500</v>
      </c>
      <c r="H20" s="41" t="n">
        <f aca="false">IFERROR(VLOOKUP(D20,'📦 Productos'!B:E,4,0)*F20,0)</f>
        <v>4701</v>
      </c>
      <c r="I20" s="41" t="n">
        <f aca="false">IFERROR(IF(ISNUMBER(G20),G20-H20,""),"")</f>
        <v>1799</v>
      </c>
      <c r="J20" s="40" t="s">
        <v>127</v>
      </c>
      <c r="K20" s="43" t="str">
        <f aca="false">IF(A20&lt;&gt;"",SUMIF($A$4:$A$107,A20,$G$4:$G$107),"")</f>
        <v/>
      </c>
    </row>
    <row r="21" customFormat="false" ht="19.5" hidden="false" customHeight="true" outlineLevel="0" collapsed="false">
      <c r="A21" s="44"/>
      <c r="B21" s="45" t="n">
        <v>46177</v>
      </c>
      <c r="C21" s="46" t="s">
        <v>104</v>
      </c>
      <c r="D21" s="46" t="s">
        <v>128</v>
      </c>
      <c r="E21" s="47" t="n">
        <v>7500</v>
      </c>
      <c r="F21" s="48" t="n">
        <v>1</v>
      </c>
      <c r="G21" s="47" t="n">
        <f aca="false">IFERROR(IF(E21*F21&gt;0,E21*F21,""),"")</f>
        <v>7500</v>
      </c>
      <c r="H21" s="47" t="n">
        <f aca="false">IFERROR(VLOOKUP(D21,'📦 Productos'!B:E,4,0)*F21,0)</f>
        <v>0</v>
      </c>
      <c r="I21" s="47" t="n">
        <f aca="false">IFERROR(IF(ISNUMBER(G21),G21-H21,""),"")</f>
        <v>7500</v>
      </c>
      <c r="J21" s="46" t="s">
        <v>127</v>
      </c>
      <c r="K21" s="49" t="str">
        <f aca="false">IF(A21&lt;&gt;"",SUMIF($A$4:$A$107,A21,$G$4:$G$107),"")</f>
        <v/>
      </c>
    </row>
    <row r="22" customFormat="false" ht="19.5" hidden="false" customHeight="true" outlineLevel="0" collapsed="false">
      <c r="A22" s="38"/>
      <c r="B22" s="39" t="n">
        <v>46177</v>
      </c>
      <c r="C22" s="40" t="s">
        <v>32</v>
      </c>
      <c r="D22" s="40" t="s">
        <v>52</v>
      </c>
      <c r="E22" s="41" t="n">
        <f aca="false">IFERROR(VLOOKUP(D22,'📦 Productos'!B:F,5,0),"")</f>
        <v>6800</v>
      </c>
      <c r="F22" s="42" t="n">
        <v>0.3</v>
      </c>
      <c r="G22" s="41" t="n">
        <f aca="false">IFERROR(IF(E22*F22&gt;0,E22*F22,""),"")</f>
        <v>2040</v>
      </c>
      <c r="H22" s="41" t="n">
        <f aca="false">IFERROR(VLOOKUP(D22,'📦 Productos'!B:E,4,0)*F22,0)</f>
        <v>1270.5</v>
      </c>
      <c r="I22" s="41" t="n">
        <f aca="false">IFERROR(IF(ISNUMBER(G22),G22-H22,""),"")</f>
        <v>769.5</v>
      </c>
      <c r="J22" s="40" t="s">
        <v>127</v>
      </c>
      <c r="K22" s="43" t="str">
        <f aca="false">IF(A22&lt;&gt;"",SUMIF($A$4:$A$107,A22,$G$4:$G$107),"")</f>
        <v/>
      </c>
    </row>
    <row r="23" customFormat="false" ht="19.5" hidden="false" customHeight="true" outlineLevel="0" collapsed="false">
      <c r="A23" s="44"/>
      <c r="B23" s="45" t="n">
        <v>46177</v>
      </c>
      <c r="C23" s="46" t="s">
        <v>58</v>
      </c>
      <c r="D23" s="46" t="s">
        <v>62</v>
      </c>
      <c r="E23" s="47" t="n">
        <f aca="false">IFERROR(VLOOKUP(D23,'📦 Productos'!B:F,5,0),"")</f>
        <v>49000</v>
      </c>
      <c r="F23" s="48" t="n">
        <v>1</v>
      </c>
      <c r="G23" s="47" t="n">
        <f aca="false">IFERROR(IF(E23*F23&gt;0,E23*F23,""),"")</f>
        <v>49000</v>
      </c>
      <c r="H23" s="47" t="n">
        <f aca="false">IFERROR(VLOOKUP(D23,'📦 Productos'!B:E,4,0)*F23,0)</f>
        <v>37900</v>
      </c>
      <c r="I23" s="47" t="n">
        <f aca="false">IFERROR(IF(ISNUMBER(G23),G23-H23,""),"")</f>
        <v>11100</v>
      </c>
      <c r="J23" s="46" t="s">
        <v>127</v>
      </c>
      <c r="K23" s="49" t="str">
        <f aca="false">IF(A23&lt;&gt;"",SUMIF($A$4:$A$107,A23,$G$4:$G$107),"")</f>
        <v/>
      </c>
    </row>
    <row r="24" customFormat="false" ht="19.5" hidden="false" customHeight="true" outlineLevel="0" collapsed="false">
      <c r="A24" s="38"/>
      <c r="B24" s="39" t="n">
        <v>46177</v>
      </c>
      <c r="C24" s="40"/>
      <c r="D24" s="40" t="s">
        <v>129</v>
      </c>
      <c r="E24" s="41" t="n">
        <v>4500</v>
      </c>
      <c r="F24" s="42" t="n">
        <v>1</v>
      </c>
      <c r="G24" s="41" t="n">
        <f aca="false">IFERROR(IF(E24*F24&gt;0,E24*F24,""),"")</f>
        <v>4500</v>
      </c>
      <c r="H24" s="41" t="n">
        <f aca="false">IFERROR(VLOOKUP(D24,'📦 Productos'!B:E,4,0)*F24,0)</f>
        <v>0</v>
      </c>
      <c r="I24" s="41" t="n">
        <f aca="false">IFERROR(IF(ISNUMBER(G24),G24-H24,""),"")</f>
        <v>4500</v>
      </c>
      <c r="J24" s="40" t="s">
        <v>127</v>
      </c>
      <c r="K24" s="43" t="str">
        <f aca="false">IF(A24&lt;&gt;"",SUMIF($A$4:$A$107,A24,$G$4:$G$107),"")</f>
        <v/>
      </c>
    </row>
    <row r="25" customFormat="false" ht="19.5" hidden="false" customHeight="true" outlineLevel="0" collapsed="false">
      <c r="A25" s="44"/>
      <c r="B25" s="45" t="n">
        <v>46177</v>
      </c>
      <c r="C25" s="46" t="s">
        <v>32</v>
      </c>
      <c r="D25" s="46" t="s">
        <v>44</v>
      </c>
      <c r="E25" s="47" t="n">
        <f aca="false">IFERROR(VLOOKUP(D25,'📦 Productos'!B:F,5,0),"")</f>
        <v>2500</v>
      </c>
      <c r="F25" s="48" t="n">
        <v>1</v>
      </c>
      <c r="G25" s="47" t="n">
        <f aca="false">IFERROR(IF(E25*F25&gt;0,E25*F25,""),"")</f>
        <v>2500</v>
      </c>
      <c r="H25" s="47" t="n">
        <f aca="false">IFERROR(VLOOKUP(D25,'📦 Productos'!B:E,4,0)*F25,0)</f>
        <v>1705</v>
      </c>
      <c r="I25" s="47" t="n">
        <f aca="false">IFERROR(IF(ISNUMBER(G25),G25-H25,""),"")</f>
        <v>795</v>
      </c>
      <c r="J25" s="46" t="s">
        <v>127</v>
      </c>
      <c r="K25" s="49" t="str">
        <f aca="false">IF(A25&lt;&gt;"",SUMIF($A$4:$A$107,A25,$G$4:$G$107),"")</f>
        <v/>
      </c>
    </row>
    <row r="26" customFormat="false" ht="19.5" hidden="false" customHeight="true" outlineLevel="0" collapsed="false">
      <c r="A26" s="38"/>
      <c r="B26" s="39" t="n">
        <v>46177</v>
      </c>
      <c r="C26" s="40" t="s">
        <v>58</v>
      </c>
      <c r="D26" s="40" t="s">
        <v>66</v>
      </c>
      <c r="E26" s="41" t="n">
        <f aca="false">IFERROR(VLOOKUP(D26,'📦 Productos'!B:F,5,0),"")</f>
        <v>2140</v>
      </c>
      <c r="F26" s="42" t="n">
        <v>1</v>
      </c>
      <c r="G26" s="41" t="n">
        <f aca="false">IFERROR(IF(E26*F26&gt;0,E26*F26,""),"")</f>
        <v>2140</v>
      </c>
      <c r="H26" s="41" t="n">
        <f aca="false">IFERROR(VLOOKUP(D26,'📦 Productos'!B:E,4,0)*F26,0)</f>
        <v>1263</v>
      </c>
      <c r="I26" s="41" t="n">
        <f aca="false">IFERROR(IF(ISNUMBER(G26),G26-H26,""),"")</f>
        <v>877</v>
      </c>
      <c r="J26" s="40" t="s">
        <v>127</v>
      </c>
      <c r="K26" s="43" t="str">
        <f aca="false">IF(A26&lt;&gt;"",SUMIF($A$4:$A$107,A26,$G$4:$G$107),"")</f>
        <v/>
      </c>
    </row>
    <row r="27" customFormat="false" ht="19.5" hidden="false" customHeight="true" outlineLevel="0" collapsed="false">
      <c r="A27" s="44" t="n">
        <v>1</v>
      </c>
      <c r="B27" s="45" t="n">
        <v>46178</v>
      </c>
      <c r="C27" s="46" t="s">
        <v>83</v>
      </c>
      <c r="D27" s="46" t="s">
        <v>130</v>
      </c>
      <c r="E27" s="47" t="n">
        <f aca="false">IFERROR(VLOOKUP(D27,'📦 Productos'!B:F,5,0),"")</f>
        <v>2900</v>
      </c>
      <c r="F27" s="48" t="n">
        <v>1</v>
      </c>
      <c r="G27" s="47" t="n">
        <f aca="false">IFERROR(IF(E27*F27&gt;0,E27*F27,""),"")</f>
        <v>2900</v>
      </c>
      <c r="H27" s="47" t="n">
        <f aca="false">IFERROR(VLOOKUP(D27,'📦 Productos'!B:E,4,0)*F27,0)</f>
        <v>2198.52</v>
      </c>
      <c r="I27" s="47" t="n">
        <f aca="false">IFERROR(IF(ISNUMBER(G27),G27-H27,""),"")</f>
        <v>701.48</v>
      </c>
      <c r="J27" s="46" t="s">
        <v>127</v>
      </c>
      <c r="K27" s="49" t="n">
        <f aca="false">IF(A27&lt;&gt;"",SUMIF($A$4:$A$107,A27,$G$4:$G$107),"")</f>
        <v>2900</v>
      </c>
    </row>
    <row r="28" customFormat="false" ht="19.5" hidden="false" customHeight="true" outlineLevel="0" collapsed="false">
      <c r="A28" s="38" t="n">
        <v>2</v>
      </c>
      <c r="B28" s="39" t="n">
        <v>46178</v>
      </c>
      <c r="C28" s="40" t="s">
        <v>104</v>
      </c>
      <c r="D28" s="40" t="s">
        <v>108</v>
      </c>
      <c r="E28" s="41" t="n">
        <f aca="false">IFERROR(VLOOKUP(D28,'📦 Productos'!B:F,5,0),"")</f>
        <v>6500</v>
      </c>
      <c r="F28" s="42" t="n">
        <v>1</v>
      </c>
      <c r="G28" s="41" t="n">
        <f aca="false">IFERROR(IF(E28*F28&gt;0,E28*F28,""),"")</f>
        <v>6500</v>
      </c>
      <c r="H28" s="41" t="n">
        <f aca="false">IFERROR(VLOOKUP(D28,'📦 Productos'!B:E,4,0)*F28,0)</f>
        <v>4701</v>
      </c>
      <c r="I28" s="41" t="n">
        <f aca="false">IFERROR(IF(ISNUMBER(G28),G28-H28,""),"")</f>
        <v>1799</v>
      </c>
      <c r="J28" s="40" t="s">
        <v>127</v>
      </c>
      <c r="K28" s="43" t="n">
        <f aca="false">IF(A28&lt;&gt;"",SUMIF($A$4:$A$107,A28,$G$4:$G$107),"")</f>
        <v>13200</v>
      </c>
    </row>
    <row r="29" customFormat="false" ht="19.5" hidden="false" customHeight="true" outlineLevel="0" collapsed="false">
      <c r="A29" s="44" t="n">
        <v>2</v>
      </c>
      <c r="B29" s="45" t="n">
        <v>46178</v>
      </c>
      <c r="C29" s="46" t="s">
        <v>87</v>
      </c>
      <c r="D29" s="46" t="s">
        <v>86</v>
      </c>
      <c r="E29" s="47" t="n">
        <f aca="false">IFERROR(VLOOKUP(D29,'📦 Productos'!B:F,5,0),"")</f>
        <v>3500</v>
      </c>
      <c r="F29" s="48" t="n">
        <v>1</v>
      </c>
      <c r="G29" s="47" t="n">
        <f aca="false">IFERROR(IF(E29*F29&gt;0,E29*F29,""),"")</f>
        <v>3500</v>
      </c>
      <c r="H29" s="47" t="n">
        <f aca="false">IFERROR(VLOOKUP(D29,'📦 Productos'!B:E,4,0)*F29,0)</f>
        <v>2023</v>
      </c>
      <c r="I29" s="47" t="n">
        <f aca="false">IFERROR(IF(ISNUMBER(G29),G29-H29,""),"")</f>
        <v>1477</v>
      </c>
      <c r="J29" s="46" t="s">
        <v>127</v>
      </c>
      <c r="K29" s="49" t="n">
        <f aca="false">IF(A29&lt;&gt;"",SUMIF($A$4:$A$107,A29,$G$4:$G$107),"")</f>
        <v>13200</v>
      </c>
    </row>
    <row r="30" customFormat="false" ht="19.5" hidden="false" customHeight="true" outlineLevel="0" collapsed="false">
      <c r="A30" s="38" t="n">
        <v>2</v>
      </c>
      <c r="B30" s="39" t="n">
        <v>46178</v>
      </c>
      <c r="C30" s="40" t="s">
        <v>83</v>
      </c>
      <c r="D30" s="40" t="s">
        <v>84</v>
      </c>
      <c r="E30" s="41" t="n">
        <f aca="false">IFERROR(VLOOKUP(D30,'📦 Productos'!B:F,5,0),"")</f>
        <v>3200</v>
      </c>
      <c r="F30" s="42" t="n">
        <v>1</v>
      </c>
      <c r="G30" s="41" t="n">
        <f aca="false">IFERROR(IF(E30*F30&gt;0,E30*F30,""),"")</f>
        <v>3200</v>
      </c>
      <c r="H30" s="41" t="n">
        <f aca="false">IFERROR(VLOOKUP(D30,'📦 Productos'!B:E,4,0)*F30,0)</f>
        <v>2166</v>
      </c>
      <c r="I30" s="41" t="n">
        <f aca="false">IFERROR(IF(ISNUMBER(G30),G30-H30,""),"")</f>
        <v>1034</v>
      </c>
      <c r="J30" s="40" t="s">
        <v>127</v>
      </c>
      <c r="K30" s="43" t="n">
        <f aca="false">IF(A30&lt;&gt;"",SUMIF($A$4:$A$107,A30,$G$4:$G$107),"")</f>
        <v>13200</v>
      </c>
    </row>
    <row r="31" customFormat="false" ht="19.5" hidden="false" customHeight="true" outlineLevel="0" collapsed="false">
      <c r="A31" s="44" t="n">
        <v>3</v>
      </c>
      <c r="B31" s="45" t="n">
        <v>46178</v>
      </c>
      <c r="C31" s="46" t="s">
        <v>11</v>
      </c>
      <c r="D31" s="46" t="s">
        <v>18</v>
      </c>
      <c r="E31" s="47" t="n">
        <f aca="false">IFERROR(VLOOKUP(D31,'📦 Productos'!B:F,5,0),"")</f>
        <v>4800</v>
      </c>
      <c r="F31" s="48" t="n">
        <v>1</v>
      </c>
      <c r="G31" s="47" t="n">
        <f aca="false">IFERROR(IF(E31*F31&gt;0,E31*F31,""),"")</f>
        <v>4800</v>
      </c>
      <c r="H31" s="47" t="n">
        <f aca="false">IFERROR(VLOOKUP(D31,'📦 Productos'!B:E,4,0)*F31,0)</f>
        <v>3100</v>
      </c>
      <c r="I31" s="47" t="n">
        <f aca="false">IFERROR(IF(ISNUMBER(G31),G31-H31,""),"")</f>
        <v>1700</v>
      </c>
      <c r="J31" s="46" t="s">
        <v>127</v>
      </c>
      <c r="K31" s="49" t="n">
        <f aca="false">IF(A31&lt;&gt;"",SUMIF($A$4:$A$107,A31,$G$4:$G$107),"")</f>
        <v>4800</v>
      </c>
    </row>
    <row r="32" customFormat="false" ht="19.5" hidden="false" customHeight="true" outlineLevel="0" collapsed="false">
      <c r="A32" s="38" t="n">
        <v>4</v>
      </c>
      <c r="B32" s="39" t="n">
        <v>46178</v>
      </c>
      <c r="C32" s="40" t="s">
        <v>95</v>
      </c>
      <c r="D32" s="40" t="s">
        <v>102</v>
      </c>
      <c r="E32" s="41" t="n">
        <f aca="false">IFERROR(VLOOKUP(D32,'📦 Productos'!B:F,5,0),"")</f>
        <v>5500</v>
      </c>
      <c r="F32" s="42" t="n">
        <v>1</v>
      </c>
      <c r="G32" s="41" t="n">
        <f aca="false">IFERROR(IF(E32*F32&gt;0,E32*F32,""),"")</f>
        <v>5500</v>
      </c>
      <c r="H32" s="41" t="n">
        <f aca="false">IFERROR(VLOOKUP(D32,'📦 Productos'!B:E,4,0)*F32,0)</f>
        <v>3891</v>
      </c>
      <c r="I32" s="41" t="n">
        <f aca="false">IFERROR(IF(ISNUMBER(G32),G32-H32,""),"")</f>
        <v>1609</v>
      </c>
      <c r="J32" s="40" t="s">
        <v>127</v>
      </c>
      <c r="K32" s="43" t="n">
        <f aca="false">IF(A32&lt;&gt;"",SUMIF($A$4:$A$107,A32,$G$4:$G$107),"")</f>
        <v>5500</v>
      </c>
    </row>
    <row r="33" customFormat="false" ht="19.5" hidden="false" customHeight="true" outlineLevel="0" collapsed="false">
      <c r="A33" s="44" t="n">
        <v>5</v>
      </c>
      <c r="B33" s="45" t="n">
        <v>46178</v>
      </c>
      <c r="C33" s="46" t="s">
        <v>32</v>
      </c>
      <c r="D33" s="46" t="s">
        <v>46</v>
      </c>
      <c r="E33" s="47" t="n">
        <v>9200</v>
      </c>
      <c r="F33" s="48" t="n">
        <v>0.3</v>
      </c>
      <c r="G33" s="47" t="n">
        <f aca="false">IFERROR(IF(E33*F33&gt;0,E33*F33,""),"")</f>
        <v>2760</v>
      </c>
      <c r="H33" s="47" t="n">
        <f aca="false">IFERROR(VLOOKUP(D33,'📦 Productos'!B:E,4,0)*F33,0)</f>
        <v>1740</v>
      </c>
      <c r="I33" s="47" t="n">
        <f aca="false">IFERROR(IF(ISNUMBER(G33),G33-H33,""),"")</f>
        <v>1020</v>
      </c>
      <c r="J33" s="46" t="s">
        <v>127</v>
      </c>
      <c r="K33" s="49" t="n">
        <f aca="false">IF(A33&lt;&gt;"",SUMIF($A$4:$A$107,A33,$G$4:$G$107),"")</f>
        <v>2760</v>
      </c>
    </row>
    <row r="34" customFormat="false" ht="19.5" hidden="false" customHeight="true" outlineLevel="0" collapsed="false">
      <c r="A34" s="38" t="n">
        <v>6</v>
      </c>
      <c r="B34" s="39" t="n">
        <v>46178</v>
      </c>
      <c r="C34" s="40" t="s">
        <v>58</v>
      </c>
      <c r="D34" s="40" t="s">
        <v>64</v>
      </c>
      <c r="E34" s="41" t="n">
        <f aca="false">IFERROR(VLOOKUP(D34,'📦 Productos'!B:F,5,0),"")</f>
        <v>8550</v>
      </c>
      <c r="F34" s="42" t="n">
        <v>1</v>
      </c>
      <c r="G34" s="41" t="n">
        <f aca="false">IFERROR(IF(E34*F34&gt;0,E34*F34,""),"")</f>
        <v>8550</v>
      </c>
      <c r="H34" s="41" t="n">
        <f aca="false">IFERROR(VLOOKUP(D34,'📦 Productos'!B:E,4,0)*F34,0)</f>
        <v>6317</v>
      </c>
      <c r="I34" s="41" t="n">
        <f aca="false">IFERROR(IF(ISNUMBER(G34),G34-H34,""),"")</f>
        <v>2233</v>
      </c>
      <c r="J34" s="40" t="s">
        <v>127</v>
      </c>
      <c r="K34" s="43" t="n">
        <f aca="false">IF(A34&lt;&gt;"",SUMIF($A$4:$A$107,A34,$G$4:$G$107),"")</f>
        <v>8550</v>
      </c>
    </row>
    <row r="35" customFormat="false" ht="19.5" hidden="false" customHeight="true" outlineLevel="0" collapsed="false">
      <c r="A35" s="44" t="n">
        <v>7</v>
      </c>
      <c r="B35" s="45" t="n">
        <v>46178</v>
      </c>
      <c r="C35" s="46" t="s">
        <v>32</v>
      </c>
      <c r="D35" s="46" t="s">
        <v>37</v>
      </c>
      <c r="E35" s="47" t="n">
        <f aca="false">IFERROR(VLOOKUP(D35,'📦 Productos'!B:F,5,0),"")</f>
        <v>2400</v>
      </c>
      <c r="F35" s="48" t="n">
        <v>1</v>
      </c>
      <c r="G35" s="47" t="n">
        <f aca="false">IFERROR(IF(E35*F35&gt;0,E35*F35,""),"")</f>
        <v>2400</v>
      </c>
      <c r="H35" s="47" t="n">
        <f aca="false">IFERROR(VLOOKUP(D35,'📦 Productos'!B:E,4,0)*F35,0)</f>
        <v>1350</v>
      </c>
      <c r="I35" s="47" t="n">
        <f aca="false">IFERROR(IF(ISNUMBER(G35),G35-H35,""),"")</f>
        <v>1050</v>
      </c>
      <c r="J35" s="46" t="s">
        <v>127</v>
      </c>
      <c r="K35" s="49" t="n">
        <f aca="false">IF(A35&lt;&gt;"",SUMIF($A$4:$A$107,A35,$G$4:$G$107),"")</f>
        <v>7400</v>
      </c>
    </row>
    <row r="36" customFormat="false" ht="19.5" hidden="false" customHeight="true" outlineLevel="0" collapsed="false">
      <c r="A36" s="38" t="n">
        <v>7</v>
      </c>
      <c r="B36" s="39" t="n">
        <v>46178</v>
      </c>
      <c r="C36" s="40" t="s">
        <v>104</v>
      </c>
      <c r="D36" s="40" t="s">
        <v>103</v>
      </c>
      <c r="E36" s="41" t="n">
        <f aca="false">IFERROR(VLOOKUP(D36,'📦 Productos'!B:F,5,0),"")</f>
        <v>5000</v>
      </c>
      <c r="F36" s="42" t="n">
        <v>1</v>
      </c>
      <c r="G36" s="41" t="n">
        <f aca="false">IFERROR(IF(E36*F36&gt;0,E36*F36,""),"")</f>
        <v>5000</v>
      </c>
      <c r="H36" s="41" t="n">
        <f aca="false">IFERROR(VLOOKUP(D36,'📦 Productos'!B:E,4,0)*F36,0)</f>
        <v>2499</v>
      </c>
      <c r="I36" s="41" t="n">
        <f aca="false">IFERROR(IF(ISNUMBER(G36),G36-H36,""),"")</f>
        <v>2501</v>
      </c>
      <c r="J36" s="40" t="s">
        <v>127</v>
      </c>
      <c r="K36" s="43" t="n">
        <f aca="false">IF(A36&lt;&gt;"",SUMIF($A$4:$A$107,A36,$G$4:$G$107),"")</f>
        <v>7400</v>
      </c>
    </row>
    <row r="37" customFormat="false" ht="19.5" hidden="false" customHeight="true" outlineLevel="0" collapsed="false">
      <c r="A37" s="44" t="n">
        <v>8</v>
      </c>
      <c r="B37" s="45" t="n">
        <v>46178</v>
      </c>
      <c r="C37" s="46" t="s">
        <v>58</v>
      </c>
      <c r="D37" s="46" t="s">
        <v>75</v>
      </c>
      <c r="E37" s="47" t="n">
        <f aca="false">IFERROR(VLOOKUP(D37,'📦 Productos'!B:F,5,0),"")</f>
        <v>7800</v>
      </c>
      <c r="F37" s="48" t="n">
        <v>1</v>
      </c>
      <c r="G37" s="47" t="n">
        <f aca="false">IFERROR(IF(E37*F37&gt;0,E37*F37,""),"")</f>
        <v>7800</v>
      </c>
      <c r="H37" s="47" t="n">
        <f aca="false">IFERROR(VLOOKUP(D37,'📦 Productos'!B:E,4,0)*F37,0)</f>
        <v>5817</v>
      </c>
      <c r="I37" s="47" t="n">
        <f aca="false">IFERROR(IF(ISNUMBER(G37),G37-H37,""),"")</f>
        <v>1983</v>
      </c>
      <c r="J37" s="46" t="s">
        <v>127</v>
      </c>
      <c r="K37" s="49" t="n">
        <f aca="false">IF(A37&lt;&gt;"",SUMIF($A$4:$A$107,A37,$G$4:$G$107),"")</f>
        <v>7800</v>
      </c>
    </row>
    <row r="38" customFormat="false" ht="19.5" hidden="false" customHeight="true" outlineLevel="0" collapsed="false">
      <c r="A38" s="38" t="n">
        <v>9</v>
      </c>
      <c r="B38" s="39" t="n">
        <v>46178</v>
      </c>
      <c r="C38" s="40" t="s">
        <v>58</v>
      </c>
      <c r="D38" s="40" t="s">
        <v>64</v>
      </c>
      <c r="E38" s="41" t="n">
        <f aca="false">IFERROR(VLOOKUP(D38,'📦 Productos'!B:F,5,0),"")</f>
        <v>8550</v>
      </c>
      <c r="F38" s="42" t="n">
        <v>1</v>
      </c>
      <c r="G38" s="41" t="n">
        <f aca="false">IFERROR(IF(E38*F38&gt;0,E38*F38,""),"")</f>
        <v>8550</v>
      </c>
      <c r="H38" s="41" t="n">
        <f aca="false">IFERROR(VLOOKUP(D38,'📦 Productos'!B:E,4,0)*F38,0)</f>
        <v>6317</v>
      </c>
      <c r="I38" s="41" t="n">
        <f aca="false">IFERROR(IF(ISNUMBER(G38),G38-H38,""),"")</f>
        <v>2233</v>
      </c>
      <c r="J38" s="40" t="s">
        <v>127</v>
      </c>
      <c r="K38" s="43" t="n">
        <f aca="false">IF(A38&lt;&gt;"",SUMIF($A$4:$A$107,A38,$G$4:$G$107),"")</f>
        <v>16294</v>
      </c>
    </row>
    <row r="39" customFormat="false" ht="19.5" hidden="false" customHeight="true" outlineLevel="0" collapsed="false">
      <c r="A39" s="44" t="n">
        <v>9</v>
      </c>
      <c r="B39" s="45" t="n">
        <v>46178</v>
      </c>
      <c r="C39" s="46" t="s">
        <v>32</v>
      </c>
      <c r="D39" s="46" t="s">
        <v>50</v>
      </c>
      <c r="E39" s="47" t="n">
        <f aca="false">IFERROR(VLOOKUP(D39,'📦 Productos'!B:F,5,0),"")</f>
        <v>13200</v>
      </c>
      <c r="F39" s="48" t="n">
        <v>0.17</v>
      </c>
      <c r="G39" s="47" t="n">
        <f aca="false">IFERROR(IF(E39*F39&gt;0,E39*F39,""),"")</f>
        <v>2244</v>
      </c>
      <c r="H39" s="47" t="n">
        <f aca="false">IFERROR(VLOOKUP(D39,'📦 Productos'!B:E,4,0)*F39,0)</f>
        <v>1439.9</v>
      </c>
      <c r="I39" s="47" t="n">
        <f aca="false">IFERROR(IF(ISNUMBER(G39),G39-H39,""),"")</f>
        <v>804.1</v>
      </c>
      <c r="J39" s="46" t="s">
        <v>127</v>
      </c>
      <c r="K39" s="49" t="n">
        <f aca="false">IF(A39&lt;&gt;"",SUMIF($A$4:$A$107,A39,$G$4:$G$107),"")</f>
        <v>16294</v>
      </c>
    </row>
    <row r="40" customFormat="false" ht="19.5" hidden="false" customHeight="true" outlineLevel="0" collapsed="false">
      <c r="A40" s="38" t="n">
        <v>9</v>
      </c>
      <c r="B40" s="39" t="n">
        <v>46178</v>
      </c>
      <c r="C40" s="40" t="s">
        <v>95</v>
      </c>
      <c r="D40" s="40" t="s">
        <v>101</v>
      </c>
      <c r="E40" s="41" t="n">
        <f aca="false">IFERROR(VLOOKUP(D40,'📦 Productos'!B:F,5,0),"")</f>
        <v>5500</v>
      </c>
      <c r="F40" s="42" t="n">
        <v>1</v>
      </c>
      <c r="G40" s="41" t="n">
        <f aca="false">IFERROR(IF(E40*F40&gt;0,E40*F40,""),"")</f>
        <v>5500</v>
      </c>
      <c r="H40" s="41" t="n">
        <f aca="false">IFERROR(VLOOKUP(D40,'📦 Productos'!B:E,4,0)*F40,0)</f>
        <v>3831.8</v>
      </c>
      <c r="I40" s="41" t="n">
        <f aca="false">IFERROR(IF(ISNUMBER(G40),G40-H40,""),"")</f>
        <v>1668.2</v>
      </c>
      <c r="J40" s="40" t="s">
        <v>127</v>
      </c>
      <c r="K40" s="43" t="n">
        <f aca="false">IF(A40&lt;&gt;"",SUMIF($A$4:$A$107,A40,$G$4:$G$107),"")</f>
        <v>16294</v>
      </c>
    </row>
    <row r="41" customFormat="false" ht="19.5" hidden="false" customHeight="true" outlineLevel="0" collapsed="false">
      <c r="A41" s="44" t="n">
        <v>10</v>
      </c>
      <c r="B41" s="45" t="n">
        <v>46178</v>
      </c>
      <c r="C41" s="46" t="s">
        <v>104</v>
      </c>
      <c r="D41" s="46" t="s">
        <v>106</v>
      </c>
      <c r="E41" s="47" t="n">
        <f aca="false">IFERROR(VLOOKUP(D41,'📦 Productos'!B:F,5,0),"")</f>
        <v>4500</v>
      </c>
      <c r="F41" s="48" t="n">
        <v>1</v>
      </c>
      <c r="G41" s="47" t="n">
        <f aca="false">IFERROR(IF(E41*F41&gt;0,E41*F41,""),"")</f>
        <v>4500</v>
      </c>
      <c r="H41" s="47" t="n">
        <f aca="false">IFERROR(VLOOKUP(D41,'📦 Productos'!B:E,4,0)*F41,0)</f>
        <v>1900</v>
      </c>
      <c r="I41" s="47" t="n">
        <f aca="false">IFERROR(IF(ISNUMBER(G41),G41-H41,""),"")</f>
        <v>2600</v>
      </c>
      <c r="J41" s="46" t="s">
        <v>131</v>
      </c>
      <c r="K41" s="49" t="n">
        <f aca="false">IF(A41&lt;&gt;"",SUMIF($A$4:$A$107,A41,$G$4:$G$107),"")</f>
        <v>4500</v>
      </c>
    </row>
    <row r="42" customFormat="false" ht="19.5" hidden="false" customHeight="true" outlineLevel="0" collapsed="false">
      <c r="A42" s="38" t="n">
        <v>11</v>
      </c>
      <c r="B42" s="39" t="n">
        <v>46178</v>
      </c>
      <c r="C42" s="40" t="s">
        <v>58</v>
      </c>
      <c r="D42" s="40" t="s">
        <v>62</v>
      </c>
      <c r="E42" s="41" t="n">
        <f aca="false">IFERROR(VLOOKUP(D42,'📦 Productos'!B:F,5,0),"")</f>
        <v>49000</v>
      </c>
      <c r="F42" s="42" t="n">
        <v>1</v>
      </c>
      <c r="G42" s="41" t="n">
        <f aca="false">IFERROR(IF(E42*F42&gt;0,E42*F42,""),"")</f>
        <v>49000</v>
      </c>
      <c r="H42" s="41" t="n">
        <f aca="false">IFERROR(VLOOKUP(D42,'📦 Productos'!B:E,4,0)*F42,0)</f>
        <v>37900</v>
      </c>
      <c r="I42" s="41" t="n">
        <f aca="false">IFERROR(IF(ISNUMBER(G42),G42-H42,""),"")</f>
        <v>11100</v>
      </c>
      <c r="J42" s="40"/>
      <c r="K42" s="43" t="n">
        <f aca="false">IF(A42&lt;&gt;"",SUMIF($A$4:$A$107,A42,$G$4:$G$107),"")</f>
        <v>49000</v>
      </c>
    </row>
    <row r="43" customFormat="false" ht="19.5" hidden="false" customHeight="true" outlineLevel="0" collapsed="false">
      <c r="A43" s="44" t="n">
        <v>12</v>
      </c>
      <c r="B43" s="45" t="n">
        <v>46178</v>
      </c>
      <c r="C43" s="46" t="s">
        <v>58</v>
      </c>
      <c r="D43" s="46" t="s">
        <v>57</v>
      </c>
      <c r="E43" s="47" t="n">
        <f aca="false">IFERROR(VLOOKUP(D43,'📦 Productos'!B:F,5,0),"")</f>
        <v>3960</v>
      </c>
      <c r="F43" s="48" t="n">
        <v>1</v>
      </c>
      <c r="G43" s="47" t="n">
        <f aca="false">IFERROR(IF(E43*F43&gt;0,E43*F43,""),"")</f>
        <v>3960</v>
      </c>
      <c r="H43" s="47" t="n">
        <f aca="false">IFERROR(VLOOKUP(D43,'📦 Productos'!B:E,4,0)*F43,0)</f>
        <v>2527</v>
      </c>
      <c r="I43" s="47" t="n">
        <f aca="false">IFERROR(IF(ISNUMBER(G43),G43-H43,""),"")</f>
        <v>1433</v>
      </c>
      <c r="J43" s="46" t="s">
        <v>127</v>
      </c>
      <c r="K43" s="49" t="n">
        <f aca="false">IF(A43&lt;&gt;"",SUMIF($A$4:$A$107,A43,$G$4:$G$107),"")</f>
        <v>3960</v>
      </c>
    </row>
    <row r="44" customFormat="false" ht="19.5" hidden="false" customHeight="true" outlineLevel="0" collapsed="false">
      <c r="A44" s="38" t="n">
        <v>13</v>
      </c>
      <c r="B44" s="39" t="n">
        <v>46178</v>
      </c>
      <c r="C44" s="40" t="s">
        <v>58</v>
      </c>
      <c r="D44" s="40" t="s">
        <v>80</v>
      </c>
      <c r="E44" s="41" t="n">
        <f aca="false">IFERROR(VLOOKUP(D44,'📦 Productos'!B:F,5,0),"")</f>
        <v>10000</v>
      </c>
      <c r="F44" s="42" t="n">
        <v>1</v>
      </c>
      <c r="G44" s="41" t="n">
        <f aca="false">IFERROR(IF(E44*F44&gt;0,E44*F44,""),"")</f>
        <v>10000</v>
      </c>
      <c r="H44" s="41" t="n">
        <f aca="false">IFERROR(VLOOKUP(D44,'📦 Productos'!B:E,4,0)*F44,0)</f>
        <v>8100</v>
      </c>
      <c r="I44" s="41" t="n">
        <f aca="false">IFERROR(IF(ISNUMBER(G44),G44-H44,""),"")</f>
        <v>1900</v>
      </c>
      <c r="J44" s="40" t="s">
        <v>131</v>
      </c>
      <c r="K44" s="43" t="n">
        <f aca="false">IF(A44&lt;&gt;"",SUMIF($A$4:$A$107,A44,$G$4:$G$107),"")</f>
        <v>10000</v>
      </c>
    </row>
    <row r="45" customFormat="false" ht="19.5" hidden="false" customHeight="true" outlineLevel="0" collapsed="false">
      <c r="A45" s="44" t="n">
        <v>14</v>
      </c>
      <c r="B45" s="45" t="n">
        <v>46178</v>
      </c>
      <c r="C45" s="46" t="s">
        <v>58</v>
      </c>
      <c r="D45" s="46" t="s">
        <v>80</v>
      </c>
      <c r="E45" s="47" t="n">
        <f aca="false">IFERROR(VLOOKUP(D45,'📦 Productos'!B:F,5,0),"")</f>
        <v>10000</v>
      </c>
      <c r="F45" s="48" t="n">
        <v>1</v>
      </c>
      <c r="G45" s="47" t="n">
        <f aca="false">IFERROR(IF(E45*F45&gt;0,E45*F45,""),"")</f>
        <v>10000</v>
      </c>
      <c r="H45" s="47" t="n">
        <f aca="false">IFERROR(VLOOKUP(D45,'📦 Productos'!B:E,4,0)*F45,0)</f>
        <v>8100</v>
      </c>
      <c r="I45" s="47" t="n">
        <f aca="false">IFERROR(IF(ISNUMBER(G45),G45-H45,""),"")</f>
        <v>1900</v>
      </c>
      <c r="J45" s="46" t="s">
        <v>127</v>
      </c>
      <c r="K45" s="49" t="n">
        <f aca="false">IF(A45&lt;&gt;"",SUMIF($A$4:$A$107,A45,$G$4:$G$107),"")</f>
        <v>18000</v>
      </c>
    </row>
    <row r="46" customFormat="false" ht="19.5" hidden="false" customHeight="true" outlineLevel="0" collapsed="false">
      <c r="A46" s="38" t="n">
        <v>14</v>
      </c>
      <c r="B46" s="39" t="n">
        <v>46178</v>
      </c>
      <c r="C46" s="40" t="s">
        <v>11</v>
      </c>
      <c r="D46" s="40" t="s">
        <v>10</v>
      </c>
      <c r="E46" s="41" t="n">
        <f aca="false">IFERROR(VLOOKUP(D46,'📦 Productos'!B:F,5,0),"")</f>
        <v>8000</v>
      </c>
      <c r="F46" s="42" t="n">
        <v>1</v>
      </c>
      <c r="G46" s="41" t="n">
        <f aca="false">IFERROR(IF(E46*F46&gt;0,E46*F46,""),"")</f>
        <v>8000</v>
      </c>
      <c r="H46" s="41" t="n">
        <f aca="false">IFERROR(VLOOKUP(D46,'📦 Productos'!B:E,4,0)*F46,0)</f>
        <v>4900</v>
      </c>
      <c r="I46" s="41" t="n">
        <f aca="false">IFERROR(IF(ISNUMBER(G46),G46-H46,""),"")</f>
        <v>3100</v>
      </c>
      <c r="J46" s="40" t="s">
        <v>127</v>
      </c>
      <c r="K46" s="43" t="n">
        <f aca="false">IF(A46&lt;&gt;"",SUMIF($A$4:$A$107,A46,$G$4:$G$107),"")</f>
        <v>18000</v>
      </c>
    </row>
    <row r="47" customFormat="false" ht="19.5" hidden="false" customHeight="true" outlineLevel="0" collapsed="false">
      <c r="A47" s="44" t="n">
        <v>15</v>
      </c>
      <c r="B47" s="45" t="n">
        <v>46178</v>
      </c>
      <c r="C47" s="46" t="s">
        <v>58</v>
      </c>
      <c r="D47" s="46" t="s">
        <v>64</v>
      </c>
      <c r="E47" s="47" t="n">
        <f aca="false">IFERROR(VLOOKUP(D47,'📦 Productos'!B:F,5,0),"")</f>
        <v>8550</v>
      </c>
      <c r="F47" s="48" t="n">
        <v>1</v>
      </c>
      <c r="G47" s="47" t="n">
        <f aca="false">IFERROR(IF(E47*F47&gt;0,E47*F47,""),"")</f>
        <v>8550</v>
      </c>
      <c r="H47" s="47" t="n">
        <f aca="false">IFERROR(VLOOKUP(D47,'📦 Productos'!B:E,4,0)*F47,0)</f>
        <v>6317</v>
      </c>
      <c r="I47" s="47" t="n">
        <f aca="false">IFERROR(IF(ISNUMBER(G47),G47-H47,""),"")</f>
        <v>2233</v>
      </c>
      <c r="J47" s="46" t="s">
        <v>127</v>
      </c>
      <c r="K47" s="49" t="n">
        <f aca="false">IF(A47&lt;&gt;"",SUMIF($A$4:$A$107,A47,$G$4:$G$107),"")</f>
        <v>8550</v>
      </c>
    </row>
    <row r="48" customFormat="false" ht="19.5" hidden="false" customHeight="true" outlineLevel="0" collapsed="false">
      <c r="A48" s="38" t="n">
        <v>16</v>
      </c>
      <c r="B48" s="39" t="n">
        <v>46178</v>
      </c>
      <c r="C48" s="40" t="s">
        <v>58</v>
      </c>
      <c r="D48" s="40" t="s">
        <v>75</v>
      </c>
      <c r="E48" s="41" t="n">
        <f aca="false">IFERROR(VLOOKUP(D48,'📦 Productos'!B:F,5,0),"")</f>
        <v>7800</v>
      </c>
      <c r="F48" s="42" t="n">
        <v>1</v>
      </c>
      <c r="G48" s="41" t="n">
        <f aca="false">IFERROR(IF(E48*F48&gt;0,E48*F48,""),"")</f>
        <v>7800</v>
      </c>
      <c r="H48" s="41" t="n">
        <f aca="false">IFERROR(VLOOKUP(D48,'📦 Productos'!B:E,4,0)*F48,0)</f>
        <v>5817</v>
      </c>
      <c r="I48" s="41" t="n">
        <f aca="false">IFERROR(IF(ISNUMBER(G48),G48-H48,""),"")</f>
        <v>1983</v>
      </c>
      <c r="J48" s="40" t="s">
        <v>131</v>
      </c>
      <c r="K48" s="43" t="n">
        <f aca="false">IF(A48&lt;&gt;"",SUMIF($A$4:$A$107,A48,$G$4:$G$107),"")</f>
        <v>10785</v>
      </c>
    </row>
    <row r="49" customFormat="false" ht="19.5" hidden="false" customHeight="true" outlineLevel="0" collapsed="false">
      <c r="A49" s="44" t="n">
        <v>16</v>
      </c>
      <c r="B49" s="45" t="n">
        <v>46178</v>
      </c>
      <c r="C49" s="46" t="s">
        <v>32</v>
      </c>
      <c r="D49" s="46" t="s">
        <v>38</v>
      </c>
      <c r="E49" s="47" t="n">
        <f aca="false">IFERROR(VLOOKUP(D49,'📦 Productos'!B:F,5,0),"")</f>
        <v>19900</v>
      </c>
      <c r="F49" s="48" t="n">
        <v>0.15</v>
      </c>
      <c r="G49" s="47" t="n">
        <f aca="false">IFERROR(IF(E49*F49&gt;0,E49*F49,""),"")</f>
        <v>2985</v>
      </c>
      <c r="H49" s="47" t="n">
        <f aca="false">IFERROR(VLOOKUP(D49,'📦 Productos'!B:E,4,0)*F49,0)</f>
        <v>2025</v>
      </c>
      <c r="I49" s="47" t="n">
        <f aca="false">IFERROR(IF(ISNUMBER(G49),G49-H49,""),"")</f>
        <v>960</v>
      </c>
      <c r="J49" s="46" t="s">
        <v>131</v>
      </c>
      <c r="K49" s="49" t="n">
        <f aca="false">IF(A49&lt;&gt;"",SUMIF($A$4:$A$107,A49,$G$4:$G$107),"")</f>
        <v>10785</v>
      </c>
    </row>
    <row r="50" customFormat="false" ht="19.5" hidden="false" customHeight="true" outlineLevel="0" collapsed="false">
      <c r="A50" s="38" t="n">
        <v>17</v>
      </c>
      <c r="B50" s="39" t="n">
        <v>46178</v>
      </c>
      <c r="C50" s="40" t="s">
        <v>32</v>
      </c>
      <c r="D50" s="40" t="s">
        <v>41</v>
      </c>
      <c r="E50" s="41" t="n">
        <f aca="false">IFERROR(VLOOKUP(D50,'📦 Productos'!B:F,5,0),"")</f>
        <v>630</v>
      </c>
      <c r="F50" s="42" t="n">
        <v>1</v>
      </c>
      <c r="G50" s="41" t="n">
        <f aca="false">IFERROR(IF(E50*F50&gt;0,E50*F50,""),"")</f>
        <v>630</v>
      </c>
      <c r="H50" s="41" t="n">
        <f aca="false">IFERROR(VLOOKUP(D50,'📦 Productos'!B:E,4,0)*F50,0)</f>
        <v>341</v>
      </c>
      <c r="I50" s="41" t="n">
        <f aca="false">IFERROR(IF(ISNUMBER(G50),G50-H50,""),"")</f>
        <v>289</v>
      </c>
      <c r="J50" s="40" t="s">
        <v>131</v>
      </c>
      <c r="K50" s="43" t="n">
        <f aca="false">IF(A50&lt;&gt;"",SUMIF($A$4:$A$107,A50,$G$4:$G$107),"")</f>
        <v>630</v>
      </c>
    </row>
    <row r="51" customFormat="false" ht="19.5" hidden="false" customHeight="true" outlineLevel="0" collapsed="false">
      <c r="A51" s="44"/>
      <c r="B51" s="50"/>
      <c r="C51" s="46"/>
      <c r="D51" s="46"/>
      <c r="E51" s="47" t="str">
        <f aca="false">IFERROR(VLOOKUP(D51,'📦 Productos'!B:F,5,0),"")</f>
        <v/>
      </c>
      <c r="F51" s="48"/>
      <c r="G51" s="47" t="str">
        <f aca="false">IFERROR(IF(E51*F51&gt;0,E51*F51,""),"")</f>
        <v/>
      </c>
      <c r="H51" s="47" t="n">
        <f aca="false">IFERROR(VLOOKUP(D51,'📦 Productos'!B:E,4,0)*F51,0)</f>
        <v>0</v>
      </c>
      <c r="I51" s="47" t="str">
        <f aca="false">IFERROR(IF(ISNUMBER(G51),G51-H51,""),"")</f>
        <v/>
      </c>
      <c r="J51" s="46"/>
      <c r="K51" s="49" t="str">
        <f aca="false">IF(A51&lt;&gt;"",SUMIF($A$4:$A$107,A51,$G$4:$G$107),"")</f>
        <v/>
      </c>
    </row>
    <row r="52" customFormat="false" ht="19.5" hidden="false" customHeight="true" outlineLevel="0" collapsed="false">
      <c r="A52" s="38"/>
      <c r="B52" s="51"/>
      <c r="C52" s="40"/>
      <c r="D52" s="40"/>
      <c r="E52" s="41" t="str">
        <f aca="false">IFERROR(VLOOKUP(D52,'📦 Productos'!B:F,5,0),"")</f>
        <v/>
      </c>
      <c r="F52" s="42"/>
      <c r="G52" s="41" t="str">
        <f aca="false">IFERROR(IF(E52*F52&gt;0,E52*F52,""),"")</f>
        <v/>
      </c>
      <c r="H52" s="41" t="n">
        <f aca="false">IFERROR(VLOOKUP(D52,'📦 Productos'!B:E,4,0)*F52,0)</f>
        <v>0</v>
      </c>
      <c r="I52" s="41" t="str">
        <f aca="false">IFERROR(IF(ISNUMBER(G52),G52-H52,""),"")</f>
        <v/>
      </c>
      <c r="J52" s="40"/>
      <c r="K52" s="43" t="str">
        <f aca="false">IF(A52&lt;&gt;"",SUMIF($A$4:$A$107,A52,$G$4:$G$107),"")</f>
        <v/>
      </c>
    </row>
    <row r="53" customFormat="false" ht="19.5" hidden="false" customHeight="true" outlineLevel="0" collapsed="false">
      <c r="A53" s="44"/>
      <c r="B53" s="50"/>
      <c r="C53" s="46"/>
      <c r="D53" s="46"/>
      <c r="E53" s="47" t="str">
        <f aca="false">IFERROR(VLOOKUP(D53,'📦 Productos'!B:F,5,0),"")</f>
        <v/>
      </c>
      <c r="F53" s="48"/>
      <c r="G53" s="47" t="str">
        <f aca="false">IFERROR(IF(E53*F53&gt;0,E53*F53,""),"")</f>
        <v/>
      </c>
      <c r="H53" s="47" t="n">
        <f aca="false">IFERROR(VLOOKUP(D53,'📦 Productos'!B:E,4,0)*F53,0)</f>
        <v>0</v>
      </c>
      <c r="I53" s="47" t="str">
        <f aca="false">IFERROR(IF(ISNUMBER(G53),G53-H53,""),"")</f>
        <v/>
      </c>
      <c r="J53" s="46"/>
      <c r="K53" s="49" t="str">
        <f aca="false">IF(A53&lt;&gt;"",SUMIF($A$4:$A$107,A53,$G$4:$G$107),"")</f>
        <v/>
      </c>
    </row>
    <row r="54" customFormat="false" ht="19.5" hidden="false" customHeight="true" outlineLevel="0" collapsed="false">
      <c r="A54" s="38"/>
      <c r="B54" s="51"/>
      <c r="C54" s="40"/>
      <c r="D54" s="40"/>
      <c r="E54" s="41" t="str">
        <f aca="false">IFERROR(VLOOKUP(D54,'📦 Productos'!B:F,5,0),"")</f>
        <v/>
      </c>
      <c r="F54" s="42"/>
      <c r="G54" s="41" t="str">
        <f aca="false">IFERROR(IF(E54*F54&gt;0,E54*F54,""),"")</f>
        <v/>
      </c>
      <c r="H54" s="41" t="n">
        <f aca="false">IFERROR(VLOOKUP(D54,'📦 Productos'!B:E,4,0)*F54,0)</f>
        <v>0</v>
      </c>
      <c r="I54" s="41" t="str">
        <f aca="false">IFERROR(IF(ISNUMBER(G54),G54-H54,""),"")</f>
        <v/>
      </c>
      <c r="J54" s="40"/>
      <c r="K54" s="43" t="str">
        <f aca="false">IF(A54&lt;&gt;"",SUMIF($A$4:$A$107,A54,$G$4:$G$107),"")</f>
        <v/>
      </c>
    </row>
    <row r="55" customFormat="false" ht="19.5" hidden="false" customHeight="true" outlineLevel="0" collapsed="false">
      <c r="A55" s="44"/>
      <c r="B55" s="50"/>
      <c r="C55" s="46"/>
      <c r="D55" s="46"/>
      <c r="E55" s="47" t="str">
        <f aca="false">IFERROR(VLOOKUP(D55,'📦 Productos'!B:F,5,0),"")</f>
        <v/>
      </c>
      <c r="F55" s="48"/>
      <c r="G55" s="47" t="str">
        <f aca="false">IFERROR(IF(E55*F55&gt;0,E55*F55,""),"")</f>
        <v/>
      </c>
      <c r="H55" s="47" t="n">
        <f aca="false">IFERROR(VLOOKUP(D55,'📦 Productos'!B:E,4,0)*F55,0)</f>
        <v>0</v>
      </c>
      <c r="I55" s="47" t="str">
        <f aca="false">IFERROR(IF(ISNUMBER(G55),G55-H55,""),"")</f>
        <v/>
      </c>
      <c r="J55" s="46"/>
      <c r="K55" s="49" t="str">
        <f aca="false">IF(A55&lt;&gt;"",SUMIF($A$4:$A$107,A55,$G$4:$G$107),"")</f>
        <v/>
      </c>
    </row>
    <row r="56" customFormat="false" ht="19.5" hidden="false" customHeight="true" outlineLevel="0" collapsed="false">
      <c r="A56" s="38"/>
      <c r="B56" s="51"/>
      <c r="C56" s="40"/>
      <c r="D56" s="40"/>
      <c r="E56" s="41" t="str">
        <f aca="false">IFERROR(VLOOKUP(D56,'📦 Productos'!B:F,5,0),"")</f>
        <v/>
      </c>
      <c r="F56" s="42"/>
      <c r="G56" s="41" t="str">
        <f aca="false">IFERROR(IF(E56*F56&gt;0,E56*F56,""),"")</f>
        <v/>
      </c>
      <c r="H56" s="41" t="n">
        <f aca="false">IFERROR(VLOOKUP(D56,'📦 Productos'!B:E,4,0)*F56,0)</f>
        <v>0</v>
      </c>
      <c r="I56" s="41" t="str">
        <f aca="false">IFERROR(IF(ISNUMBER(G56),G56-H56,""),"")</f>
        <v/>
      </c>
      <c r="J56" s="40"/>
      <c r="K56" s="43" t="str">
        <f aca="false">IF(A56&lt;&gt;"",SUMIF($A$4:$A$107,A56,$G$4:$G$107),"")</f>
        <v/>
      </c>
    </row>
    <row r="57" customFormat="false" ht="19.5" hidden="false" customHeight="true" outlineLevel="0" collapsed="false">
      <c r="A57" s="44"/>
      <c r="B57" s="50"/>
      <c r="C57" s="46"/>
      <c r="D57" s="46"/>
      <c r="E57" s="47" t="str">
        <f aca="false">IFERROR(VLOOKUP(D57,'📦 Productos'!B:F,5,0),"")</f>
        <v/>
      </c>
      <c r="F57" s="48"/>
      <c r="G57" s="47" t="str">
        <f aca="false">IFERROR(IF(E57*F57&gt;0,E57*F57,""),"")</f>
        <v/>
      </c>
      <c r="H57" s="47" t="n">
        <f aca="false">IFERROR(VLOOKUP(D57,'📦 Productos'!B:E,4,0)*F57,0)</f>
        <v>0</v>
      </c>
      <c r="I57" s="47" t="str">
        <f aca="false">IFERROR(IF(ISNUMBER(G57),G57-H57,""),"")</f>
        <v/>
      </c>
      <c r="J57" s="46"/>
      <c r="K57" s="49" t="str">
        <f aca="false">IF(A57&lt;&gt;"",SUMIF($A$4:$A$107,A57,$G$4:$G$107),"")</f>
        <v/>
      </c>
    </row>
    <row r="58" customFormat="false" ht="19.5" hidden="false" customHeight="true" outlineLevel="0" collapsed="false">
      <c r="A58" s="38"/>
      <c r="B58" s="51"/>
      <c r="C58" s="40"/>
      <c r="D58" s="40"/>
      <c r="E58" s="41" t="str">
        <f aca="false">IFERROR(VLOOKUP(D58,'📦 Productos'!B:F,5,0),"")</f>
        <v/>
      </c>
      <c r="F58" s="42"/>
      <c r="G58" s="41" t="str">
        <f aca="false">IFERROR(IF(E58*F58&gt;0,E58*F58,""),"")</f>
        <v/>
      </c>
      <c r="H58" s="41" t="n">
        <f aca="false">IFERROR(VLOOKUP(D58,'📦 Productos'!B:E,4,0)*F58,0)</f>
        <v>0</v>
      </c>
      <c r="I58" s="41" t="str">
        <f aca="false">IFERROR(IF(ISNUMBER(G58),G58-H58,""),"")</f>
        <v/>
      </c>
      <c r="J58" s="40"/>
      <c r="K58" s="43" t="str">
        <f aca="false">IF(A58&lt;&gt;"",SUMIF($A$4:$A$107,A58,$G$4:$G$107),"")</f>
        <v/>
      </c>
    </row>
    <row r="59" customFormat="false" ht="19.5" hidden="false" customHeight="true" outlineLevel="0" collapsed="false">
      <c r="A59" s="44"/>
      <c r="B59" s="50"/>
      <c r="C59" s="46"/>
      <c r="D59" s="46"/>
      <c r="E59" s="47" t="str">
        <f aca="false">IFERROR(VLOOKUP(D59,'📦 Productos'!B:F,5,0),"")</f>
        <v/>
      </c>
      <c r="F59" s="48"/>
      <c r="G59" s="47" t="str">
        <f aca="false">IFERROR(IF(E59*F59&gt;0,E59*F59,""),"")</f>
        <v/>
      </c>
      <c r="H59" s="47" t="n">
        <f aca="false">IFERROR(VLOOKUP(D59,'📦 Productos'!B:E,4,0)*F59,0)</f>
        <v>0</v>
      </c>
      <c r="I59" s="47" t="str">
        <f aca="false">IFERROR(IF(ISNUMBER(G59),G59-H59,""),"")</f>
        <v/>
      </c>
      <c r="J59" s="46"/>
      <c r="K59" s="49" t="str">
        <f aca="false">IF(A59&lt;&gt;"",SUMIF($A$4:$A$107,A59,$G$4:$G$107),"")</f>
        <v/>
      </c>
    </row>
    <row r="60" customFormat="false" ht="19.5" hidden="false" customHeight="true" outlineLevel="0" collapsed="false">
      <c r="A60" s="38"/>
      <c r="B60" s="51"/>
      <c r="C60" s="40"/>
      <c r="D60" s="40"/>
      <c r="E60" s="41" t="str">
        <f aca="false">IFERROR(VLOOKUP(D60,'📦 Productos'!B:F,5,0),"")</f>
        <v/>
      </c>
      <c r="F60" s="42"/>
      <c r="G60" s="41" t="str">
        <f aca="false">IFERROR(IF(E60*F60&gt;0,E60*F60,""),"")</f>
        <v/>
      </c>
      <c r="H60" s="41" t="n">
        <f aca="false">IFERROR(VLOOKUP(D60,'📦 Productos'!B:E,4,0)*F60,0)</f>
        <v>0</v>
      </c>
      <c r="I60" s="41" t="str">
        <f aca="false">IFERROR(IF(ISNUMBER(G60),G60-H60,""),"")</f>
        <v/>
      </c>
      <c r="J60" s="40"/>
      <c r="K60" s="43" t="str">
        <f aca="false">IF(A60&lt;&gt;"",SUMIF($A$4:$A$107,A60,$G$4:$G$107),"")</f>
        <v/>
      </c>
    </row>
    <row r="61" customFormat="false" ht="19.5" hidden="false" customHeight="true" outlineLevel="0" collapsed="false">
      <c r="A61" s="44"/>
      <c r="B61" s="50"/>
      <c r="C61" s="46"/>
      <c r="D61" s="46"/>
      <c r="E61" s="47" t="str">
        <f aca="false">IFERROR(VLOOKUP(D61,'📦 Productos'!B:F,5,0),"")</f>
        <v/>
      </c>
      <c r="F61" s="48"/>
      <c r="G61" s="47" t="str">
        <f aca="false">IFERROR(IF(E61*F61&gt;0,E61*F61,""),"")</f>
        <v/>
      </c>
      <c r="H61" s="47" t="n">
        <f aca="false">IFERROR(VLOOKUP(D61,'📦 Productos'!B:E,4,0)*F61,0)</f>
        <v>0</v>
      </c>
      <c r="I61" s="47" t="str">
        <f aca="false">IFERROR(IF(ISNUMBER(G61),G61-H61,""),"")</f>
        <v/>
      </c>
      <c r="J61" s="46"/>
      <c r="K61" s="49" t="str">
        <f aca="false">IF(A61&lt;&gt;"",SUMIF($A$4:$A$107,A61,$G$4:$G$107),"")</f>
        <v/>
      </c>
    </row>
    <row r="62" customFormat="false" ht="19.5" hidden="false" customHeight="true" outlineLevel="0" collapsed="false">
      <c r="A62" s="38"/>
      <c r="B62" s="51"/>
      <c r="C62" s="40"/>
      <c r="D62" s="40"/>
      <c r="E62" s="41" t="str">
        <f aca="false">IFERROR(VLOOKUP(D62,'📦 Productos'!B:F,5,0),"")</f>
        <v/>
      </c>
      <c r="F62" s="42"/>
      <c r="G62" s="41" t="str">
        <f aca="false">IFERROR(IF(E62*F62&gt;0,E62*F62,""),"")</f>
        <v/>
      </c>
      <c r="H62" s="41" t="n">
        <f aca="false">IFERROR(VLOOKUP(D62,'📦 Productos'!B:E,4,0)*F62,0)</f>
        <v>0</v>
      </c>
      <c r="I62" s="41" t="str">
        <f aca="false">IFERROR(IF(ISNUMBER(G62),G62-H62,""),"")</f>
        <v/>
      </c>
      <c r="J62" s="40"/>
      <c r="K62" s="43" t="str">
        <f aca="false">IF(A62&lt;&gt;"",SUMIF($A$4:$A$107,A62,$G$4:$G$107),"")</f>
        <v/>
      </c>
    </row>
    <row r="63" customFormat="false" ht="19.5" hidden="false" customHeight="true" outlineLevel="0" collapsed="false">
      <c r="A63" s="44"/>
      <c r="B63" s="50"/>
      <c r="C63" s="46"/>
      <c r="D63" s="46"/>
      <c r="E63" s="47" t="str">
        <f aca="false">IFERROR(VLOOKUP(D63,'📦 Productos'!B:F,5,0),"")</f>
        <v/>
      </c>
      <c r="F63" s="48"/>
      <c r="G63" s="47" t="str">
        <f aca="false">IFERROR(IF(E63*F63&gt;0,E63*F63,""),"")</f>
        <v/>
      </c>
      <c r="H63" s="47" t="n">
        <f aca="false">IFERROR(VLOOKUP(D63,'📦 Productos'!B:E,4,0)*F63,0)</f>
        <v>0</v>
      </c>
      <c r="I63" s="47" t="str">
        <f aca="false">IFERROR(IF(ISNUMBER(G63),G63-H63,""),"")</f>
        <v/>
      </c>
      <c r="J63" s="46"/>
      <c r="K63" s="49" t="str">
        <f aca="false">IF(A63&lt;&gt;"",SUMIF($A$4:$A$107,A63,$G$4:$G$107),"")</f>
        <v/>
      </c>
    </row>
    <row r="64" customFormat="false" ht="19.5" hidden="false" customHeight="true" outlineLevel="0" collapsed="false">
      <c r="A64" s="38"/>
      <c r="B64" s="51"/>
      <c r="C64" s="40"/>
      <c r="D64" s="40"/>
      <c r="E64" s="41" t="str">
        <f aca="false">IFERROR(VLOOKUP(D64,'📦 Productos'!B:F,5,0),"")</f>
        <v/>
      </c>
      <c r="F64" s="42"/>
      <c r="G64" s="41" t="str">
        <f aca="false">IFERROR(IF(E64*F64&gt;0,E64*F64,""),"")</f>
        <v/>
      </c>
      <c r="H64" s="41" t="n">
        <f aca="false">IFERROR(VLOOKUP(D64,'📦 Productos'!B:E,4,0)*F64,0)</f>
        <v>0</v>
      </c>
      <c r="I64" s="41" t="str">
        <f aca="false">IFERROR(IF(ISNUMBER(G64),G64-H64,""),"")</f>
        <v/>
      </c>
      <c r="J64" s="40"/>
      <c r="K64" s="43" t="str">
        <f aca="false">IF(A64&lt;&gt;"",SUMIF($A$4:$A$107,A64,$G$4:$G$107),"")</f>
        <v/>
      </c>
    </row>
    <row r="65" customFormat="false" ht="19.5" hidden="false" customHeight="true" outlineLevel="0" collapsed="false">
      <c r="A65" s="44"/>
      <c r="B65" s="50"/>
      <c r="C65" s="46"/>
      <c r="D65" s="46"/>
      <c r="E65" s="47" t="str">
        <f aca="false">IFERROR(VLOOKUP(D65,'📦 Productos'!B:F,5,0),"")</f>
        <v/>
      </c>
      <c r="F65" s="48"/>
      <c r="G65" s="47" t="str">
        <f aca="false">IFERROR(IF(E65*F65&gt;0,E65*F65,""),"")</f>
        <v/>
      </c>
      <c r="H65" s="47" t="n">
        <f aca="false">IFERROR(VLOOKUP(D65,'📦 Productos'!B:E,4,0)*F65,0)</f>
        <v>0</v>
      </c>
      <c r="I65" s="47" t="str">
        <f aca="false">IFERROR(IF(ISNUMBER(G65),G65-H65,""),"")</f>
        <v/>
      </c>
      <c r="J65" s="46"/>
      <c r="K65" s="49" t="str">
        <f aca="false">IF(A65&lt;&gt;"",SUMIF($A$4:$A$107,A65,$G$4:$G$107),"")</f>
        <v/>
      </c>
    </row>
    <row r="66" customFormat="false" ht="19.5" hidden="false" customHeight="true" outlineLevel="0" collapsed="false">
      <c r="A66" s="38"/>
      <c r="B66" s="51"/>
      <c r="C66" s="40"/>
      <c r="D66" s="40"/>
      <c r="E66" s="41" t="str">
        <f aca="false">IFERROR(VLOOKUP(D66,'📦 Productos'!B:F,5,0),"")</f>
        <v/>
      </c>
      <c r="F66" s="42"/>
      <c r="G66" s="41" t="str">
        <f aca="false">IFERROR(IF(E66*F66&gt;0,E66*F66,""),"")</f>
        <v/>
      </c>
      <c r="H66" s="41" t="n">
        <f aca="false">IFERROR(VLOOKUP(D66,'📦 Productos'!B:E,4,0)*F66,0)</f>
        <v>0</v>
      </c>
      <c r="I66" s="41" t="str">
        <f aca="false">IFERROR(IF(ISNUMBER(G66),G66-H66,""),"")</f>
        <v/>
      </c>
      <c r="J66" s="40"/>
      <c r="K66" s="43" t="str">
        <f aca="false">IF(A66&lt;&gt;"",SUMIF($A$4:$A$107,A66,$G$4:$G$107),"")</f>
        <v/>
      </c>
    </row>
    <row r="67" customFormat="false" ht="19.5" hidden="false" customHeight="true" outlineLevel="0" collapsed="false">
      <c r="A67" s="44"/>
      <c r="B67" s="50"/>
      <c r="C67" s="46"/>
      <c r="D67" s="46"/>
      <c r="E67" s="47" t="str">
        <f aca="false">IFERROR(VLOOKUP(D67,'📦 Productos'!B:F,5,0),"")</f>
        <v/>
      </c>
      <c r="F67" s="48"/>
      <c r="G67" s="47" t="str">
        <f aca="false">IFERROR(IF(E67*F67&gt;0,E67*F67,""),"")</f>
        <v/>
      </c>
      <c r="H67" s="47" t="n">
        <f aca="false">IFERROR(VLOOKUP(D67,'📦 Productos'!B:E,4,0)*F67,0)</f>
        <v>0</v>
      </c>
      <c r="I67" s="47" t="str">
        <f aca="false">IFERROR(IF(ISNUMBER(G67),G67-H67,""),"")</f>
        <v/>
      </c>
      <c r="J67" s="46"/>
      <c r="K67" s="49" t="str">
        <f aca="false">IF(A67&lt;&gt;"",SUMIF($A$4:$A$107,A67,$G$4:$G$107),"")</f>
        <v/>
      </c>
    </row>
    <row r="68" customFormat="false" ht="19.5" hidden="false" customHeight="true" outlineLevel="0" collapsed="false">
      <c r="A68" s="38"/>
      <c r="B68" s="51"/>
      <c r="C68" s="40"/>
      <c r="D68" s="40"/>
      <c r="E68" s="41" t="str">
        <f aca="false">IFERROR(VLOOKUP(D68,'📦 Productos'!B:F,5,0),"")</f>
        <v/>
      </c>
      <c r="F68" s="42"/>
      <c r="G68" s="41" t="str">
        <f aca="false">IFERROR(IF(E68*F68&gt;0,E68*F68,""),"")</f>
        <v/>
      </c>
      <c r="H68" s="41" t="n">
        <f aca="false">IFERROR(VLOOKUP(D68,'📦 Productos'!B:E,4,0)*F68,0)</f>
        <v>0</v>
      </c>
      <c r="I68" s="41" t="str">
        <f aca="false">IFERROR(IF(ISNUMBER(G68),G68-H68,""),"")</f>
        <v/>
      </c>
      <c r="J68" s="40"/>
      <c r="K68" s="43" t="str">
        <f aca="false">IF(A68&lt;&gt;"",SUMIF($A$4:$A$107,A68,$G$4:$G$107),"")</f>
        <v/>
      </c>
    </row>
    <row r="69" customFormat="false" ht="19.5" hidden="false" customHeight="true" outlineLevel="0" collapsed="false">
      <c r="A69" s="44" t="n">
        <v>66</v>
      </c>
      <c r="B69" s="50"/>
      <c r="C69" s="46"/>
      <c r="D69" s="46"/>
      <c r="E69" s="47" t="str">
        <f aca="false">IFERROR(VLOOKUP(D69,'📦 Productos'!B:F,5,0),"")</f>
        <v/>
      </c>
      <c r="F69" s="48"/>
      <c r="G69" s="47" t="str">
        <f aca="false">IFERROR(IF(E69*F69&gt;0,E69*F69,""),"")</f>
        <v/>
      </c>
      <c r="H69" s="47" t="n">
        <f aca="false">IFERROR(VLOOKUP(D69,'📦 Productos'!B:E,4,0)*F69,0)</f>
        <v>0</v>
      </c>
      <c r="I69" s="47" t="str">
        <f aca="false">IFERROR(IF(ISNUMBER(G69),G69-H69,""),"")</f>
        <v/>
      </c>
      <c r="J69" s="46"/>
      <c r="K69" s="49" t="n">
        <f aca="false">IF(A69&lt;&gt;"",SUMIF($A$4:$A$107,A69,$G$4:$G$107),"")</f>
        <v>0</v>
      </c>
    </row>
    <row r="70" customFormat="false" ht="19.5" hidden="false" customHeight="true" outlineLevel="0" collapsed="false">
      <c r="A70" s="38" t="n">
        <v>67</v>
      </c>
      <c r="B70" s="51"/>
      <c r="C70" s="40"/>
      <c r="D70" s="40"/>
      <c r="E70" s="41" t="str">
        <f aca="false">IFERROR(VLOOKUP(D70,'📦 Productos'!B:F,5,0),"")</f>
        <v/>
      </c>
      <c r="F70" s="42"/>
      <c r="G70" s="41" t="str">
        <f aca="false">IFERROR(IF(E70*F70&gt;0,E70*F70,""),"")</f>
        <v/>
      </c>
      <c r="H70" s="41" t="n">
        <f aca="false">IFERROR(VLOOKUP(D70,'📦 Productos'!B:E,4,0)*F70,0)</f>
        <v>0</v>
      </c>
      <c r="I70" s="41" t="str">
        <f aca="false">IFERROR(IF(ISNUMBER(G70),G70-H70,""),"")</f>
        <v/>
      </c>
      <c r="J70" s="40"/>
      <c r="K70" s="43" t="n">
        <f aca="false">IF(A70&lt;&gt;"",SUMIF($A$4:$A$107,A70,$G$4:$G$107),"")</f>
        <v>0</v>
      </c>
    </row>
    <row r="71" customFormat="false" ht="19.5" hidden="false" customHeight="true" outlineLevel="0" collapsed="false">
      <c r="A71" s="44" t="n">
        <v>68</v>
      </c>
      <c r="B71" s="50"/>
      <c r="C71" s="46"/>
      <c r="D71" s="46"/>
      <c r="E71" s="47" t="str">
        <f aca="false">IFERROR(VLOOKUP(D71,'📦 Productos'!B:F,5,0),"")</f>
        <v/>
      </c>
      <c r="F71" s="48"/>
      <c r="G71" s="47" t="str">
        <f aca="false">IFERROR(IF(E71*F71&gt;0,E71*F71,""),"")</f>
        <v/>
      </c>
      <c r="H71" s="47" t="n">
        <f aca="false">IFERROR(VLOOKUP(D71,'📦 Productos'!B:E,4,0)*F71,0)</f>
        <v>0</v>
      </c>
      <c r="I71" s="47" t="str">
        <f aca="false">IFERROR(IF(ISNUMBER(G71),G71-H71,""),"")</f>
        <v/>
      </c>
      <c r="J71" s="46"/>
      <c r="K71" s="49" t="n">
        <f aca="false">IF(A71&lt;&gt;"",SUMIF($A$4:$A$107,A71,$G$4:$G$107),"")</f>
        <v>0</v>
      </c>
    </row>
    <row r="72" customFormat="false" ht="19.5" hidden="false" customHeight="true" outlineLevel="0" collapsed="false">
      <c r="A72" s="38" t="n">
        <v>69</v>
      </c>
      <c r="B72" s="51"/>
      <c r="C72" s="40"/>
      <c r="D72" s="40"/>
      <c r="E72" s="41" t="str">
        <f aca="false">IFERROR(VLOOKUP(D72,'📦 Productos'!B:F,5,0),"")</f>
        <v/>
      </c>
      <c r="F72" s="42"/>
      <c r="G72" s="41" t="str">
        <f aca="false">IFERROR(IF(E72*F72&gt;0,E72*F72,""),"")</f>
        <v/>
      </c>
      <c r="H72" s="41" t="n">
        <f aca="false">IFERROR(VLOOKUP(D72,'📦 Productos'!B:E,4,0)*F72,0)</f>
        <v>0</v>
      </c>
      <c r="I72" s="41" t="str">
        <f aca="false">IFERROR(IF(ISNUMBER(G72),G72-H72,""),"")</f>
        <v/>
      </c>
      <c r="J72" s="40"/>
      <c r="K72" s="43" t="n">
        <f aca="false">IF(A72&lt;&gt;"",SUMIF($A$4:$A$107,A72,$G$4:$G$107),"")</f>
        <v>0</v>
      </c>
    </row>
    <row r="73" customFormat="false" ht="19.5" hidden="false" customHeight="true" outlineLevel="0" collapsed="false">
      <c r="A73" s="44" t="n">
        <v>70</v>
      </c>
      <c r="B73" s="50"/>
      <c r="C73" s="46"/>
      <c r="D73" s="46"/>
      <c r="E73" s="47" t="str">
        <f aca="false">IFERROR(VLOOKUP(D73,'📦 Productos'!B:F,5,0),"")</f>
        <v/>
      </c>
      <c r="F73" s="48"/>
      <c r="G73" s="47" t="str">
        <f aca="false">IFERROR(IF(E73*F73&gt;0,E73*F73,""),"")</f>
        <v/>
      </c>
      <c r="H73" s="47" t="n">
        <f aca="false">IFERROR(VLOOKUP(D73,'📦 Productos'!B:E,4,0)*F73,0)</f>
        <v>0</v>
      </c>
      <c r="I73" s="47" t="str">
        <f aca="false">IFERROR(IF(ISNUMBER(G73),G73-H73,""),"")</f>
        <v/>
      </c>
      <c r="J73" s="46"/>
      <c r="K73" s="49" t="n">
        <f aca="false">IF(A73&lt;&gt;"",SUMIF($A$4:$A$107,A73,$G$4:$G$107),"")</f>
        <v>0</v>
      </c>
    </row>
    <row r="74" customFormat="false" ht="19.5" hidden="false" customHeight="true" outlineLevel="0" collapsed="false">
      <c r="A74" s="38" t="n">
        <v>71</v>
      </c>
      <c r="B74" s="51"/>
      <c r="C74" s="40"/>
      <c r="D74" s="40"/>
      <c r="E74" s="41" t="str">
        <f aca="false">IFERROR(VLOOKUP(D74,'📦 Productos'!B:F,5,0),"")</f>
        <v/>
      </c>
      <c r="F74" s="42"/>
      <c r="G74" s="41" t="str">
        <f aca="false">IFERROR(IF(E74*F74&gt;0,E74*F74,""),"")</f>
        <v/>
      </c>
      <c r="H74" s="41" t="n">
        <f aca="false">IFERROR(VLOOKUP(D74,'📦 Productos'!B:E,4,0)*F74,0)</f>
        <v>0</v>
      </c>
      <c r="I74" s="41" t="str">
        <f aca="false">IFERROR(IF(ISNUMBER(G74),G74-H74,""),"")</f>
        <v/>
      </c>
      <c r="J74" s="40"/>
      <c r="K74" s="43" t="n">
        <f aca="false">IF(A74&lt;&gt;"",SUMIF($A$4:$A$107,A74,$G$4:$G$107),"")</f>
        <v>0</v>
      </c>
    </row>
    <row r="75" customFormat="false" ht="19.5" hidden="false" customHeight="true" outlineLevel="0" collapsed="false">
      <c r="A75" s="44" t="n">
        <v>72</v>
      </c>
      <c r="B75" s="50"/>
      <c r="C75" s="46"/>
      <c r="D75" s="46"/>
      <c r="E75" s="47" t="str">
        <f aca="false">IFERROR(VLOOKUP(D75,'📦 Productos'!B:F,5,0),"")</f>
        <v/>
      </c>
      <c r="F75" s="48"/>
      <c r="G75" s="47" t="str">
        <f aca="false">IFERROR(IF(E75*F75&gt;0,E75*F75,""),"")</f>
        <v/>
      </c>
      <c r="H75" s="47" t="n">
        <f aca="false">IFERROR(VLOOKUP(D75,'📦 Productos'!B:E,4,0)*F75,0)</f>
        <v>0</v>
      </c>
      <c r="I75" s="47" t="str">
        <f aca="false">IFERROR(IF(ISNUMBER(G75),G75-H75,""),"")</f>
        <v/>
      </c>
      <c r="J75" s="46"/>
      <c r="K75" s="49" t="n">
        <f aca="false">IF(A75&lt;&gt;"",SUMIF($A$4:$A$107,A75,$G$4:$G$107),"")</f>
        <v>0</v>
      </c>
    </row>
    <row r="76" customFormat="false" ht="19.5" hidden="false" customHeight="true" outlineLevel="0" collapsed="false">
      <c r="A76" s="38" t="n">
        <v>73</v>
      </c>
      <c r="B76" s="51"/>
      <c r="C76" s="40"/>
      <c r="D76" s="40"/>
      <c r="E76" s="41" t="str">
        <f aca="false">IFERROR(VLOOKUP(D76,'📦 Productos'!B:F,5,0),"")</f>
        <v/>
      </c>
      <c r="F76" s="42"/>
      <c r="G76" s="41" t="str">
        <f aca="false">IFERROR(IF(E76*F76&gt;0,E76*F76,""),"")</f>
        <v/>
      </c>
      <c r="H76" s="41" t="n">
        <f aca="false">IFERROR(VLOOKUP(D76,'📦 Productos'!B:E,4,0)*F76,0)</f>
        <v>0</v>
      </c>
      <c r="I76" s="41" t="str">
        <f aca="false">IFERROR(IF(ISNUMBER(G76),G76-H76,""),"")</f>
        <v/>
      </c>
      <c r="J76" s="40"/>
      <c r="K76" s="43" t="n">
        <f aca="false">IF(A76&lt;&gt;"",SUMIF($A$4:$A$107,A76,$G$4:$G$107),"")</f>
        <v>0</v>
      </c>
    </row>
    <row r="77" customFormat="false" ht="19.5" hidden="false" customHeight="true" outlineLevel="0" collapsed="false">
      <c r="A77" s="44" t="n">
        <v>74</v>
      </c>
      <c r="B77" s="50"/>
      <c r="C77" s="46"/>
      <c r="D77" s="46"/>
      <c r="E77" s="47" t="str">
        <f aca="false">IFERROR(VLOOKUP(D77,'📦 Productos'!B:F,5,0),"")</f>
        <v/>
      </c>
      <c r="F77" s="48"/>
      <c r="G77" s="47" t="str">
        <f aca="false">IFERROR(IF(E77*F77&gt;0,E77*F77,""),"")</f>
        <v/>
      </c>
      <c r="H77" s="47" t="n">
        <f aca="false">IFERROR(VLOOKUP(D77,'📦 Productos'!B:E,4,0)*F77,0)</f>
        <v>0</v>
      </c>
      <c r="I77" s="47" t="str">
        <f aca="false">IFERROR(IF(ISNUMBER(G77),G77-H77,""),"")</f>
        <v/>
      </c>
      <c r="J77" s="46"/>
      <c r="K77" s="49" t="n">
        <f aca="false">IF(A77&lt;&gt;"",SUMIF($A$4:$A$107,A77,$G$4:$G$107),"")</f>
        <v>0</v>
      </c>
    </row>
    <row r="78" customFormat="false" ht="19.5" hidden="false" customHeight="true" outlineLevel="0" collapsed="false">
      <c r="A78" s="38" t="n">
        <v>75</v>
      </c>
      <c r="B78" s="51"/>
      <c r="C78" s="40"/>
      <c r="D78" s="40"/>
      <c r="E78" s="41" t="str">
        <f aca="false">IFERROR(VLOOKUP(D78,'📦 Productos'!B:F,5,0),"")</f>
        <v/>
      </c>
      <c r="F78" s="42"/>
      <c r="G78" s="41" t="str">
        <f aca="false">IFERROR(IF(E78*F78&gt;0,E78*F78,""),"")</f>
        <v/>
      </c>
      <c r="H78" s="41" t="n">
        <f aca="false">IFERROR(VLOOKUP(D78,'📦 Productos'!B:E,4,0)*F78,0)</f>
        <v>0</v>
      </c>
      <c r="I78" s="41" t="str">
        <f aca="false">IFERROR(IF(ISNUMBER(G78),G78-H78,""),"")</f>
        <v/>
      </c>
      <c r="J78" s="40"/>
      <c r="K78" s="43" t="n">
        <f aca="false">IF(A78&lt;&gt;"",SUMIF($A$4:$A$107,A78,$G$4:$G$107),"")</f>
        <v>0</v>
      </c>
    </row>
    <row r="79" customFormat="false" ht="19.5" hidden="false" customHeight="true" outlineLevel="0" collapsed="false">
      <c r="A79" s="44" t="n">
        <v>76</v>
      </c>
      <c r="B79" s="50"/>
      <c r="C79" s="46"/>
      <c r="D79" s="46"/>
      <c r="E79" s="47" t="str">
        <f aca="false">IFERROR(VLOOKUP(D79,'📦 Productos'!B:F,5,0),"")</f>
        <v/>
      </c>
      <c r="F79" s="48"/>
      <c r="G79" s="47" t="str">
        <f aca="false">IFERROR(IF(E79*F79&gt;0,E79*F79,""),"")</f>
        <v/>
      </c>
      <c r="H79" s="47" t="n">
        <f aca="false">IFERROR(VLOOKUP(D79,'📦 Productos'!B:E,4,0)*F79,0)</f>
        <v>0</v>
      </c>
      <c r="I79" s="47" t="str">
        <f aca="false">IFERROR(IF(ISNUMBER(G79),G79-H79,""),"")</f>
        <v/>
      </c>
      <c r="J79" s="46"/>
      <c r="K79" s="49" t="n">
        <f aca="false">IF(A79&lt;&gt;"",SUMIF($A$4:$A$107,A79,$G$4:$G$107),"")</f>
        <v>0</v>
      </c>
    </row>
    <row r="80" customFormat="false" ht="19.5" hidden="false" customHeight="true" outlineLevel="0" collapsed="false">
      <c r="A80" s="38" t="n">
        <v>77</v>
      </c>
      <c r="B80" s="51"/>
      <c r="C80" s="40"/>
      <c r="D80" s="40"/>
      <c r="E80" s="41" t="str">
        <f aca="false">IFERROR(VLOOKUP(D80,'📦 Productos'!B:F,5,0),"")</f>
        <v/>
      </c>
      <c r="F80" s="42"/>
      <c r="G80" s="41" t="str">
        <f aca="false">IFERROR(IF(E80*F80&gt;0,E80*F80,""),"")</f>
        <v/>
      </c>
      <c r="H80" s="41" t="n">
        <f aca="false">IFERROR(VLOOKUP(D80,'📦 Productos'!B:E,4,0)*F80,0)</f>
        <v>0</v>
      </c>
      <c r="I80" s="41" t="str">
        <f aca="false">IFERROR(IF(ISNUMBER(G80),G80-H80,""),"")</f>
        <v/>
      </c>
      <c r="J80" s="40"/>
      <c r="K80" s="43" t="n">
        <f aca="false">IF(A80&lt;&gt;"",SUMIF($A$4:$A$107,A80,$G$4:$G$107),"")</f>
        <v>0</v>
      </c>
    </row>
    <row r="81" customFormat="false" ht="19.5" hidden="false" customHeight="true" outlineLevel="0" collapsed="false">
      <c r="A81" s="44" t="n">
        <v>78</v>
      </c>
      <c r="B81" s="50"/>
      <c r="C81" s="46"/>
      <c r="D81" s="46"/>
      <c r="E81" s="47" t="str">
        <f aca="false">IFERROR(VLOOKUP(D81,'📦 Productos'!B:F,5,0),"")</f>
        <v/>
      </c>
      <c r="F81" s="48"/>
      <c r="G81" s="47" t="str">
        <f aca="false">IFERROR(IF(E81*F81&gt;0,E81*F81,""),"")</f>
        <v/>
      </c>
      <c r="H81" s="47" t="n">
        <f aca="false">IFERROR(VLOOKUP(D81,'📦 Productos'!B:E,4,0)*F81,0)</f>
        <v>0</v>
      </c>
      <c r="I81" s="47" t="str">
        <f aca="false">IFERROR(IF(ISNUMBER(G81),G81-H81,""),"")</f>
        <v/>
      </c>
      <c r="J81" s="46"/>
      <c r="K81" s="49" t="n">
        <f aca="false">IF(A81&lt;&gt;"",SUMIF($A$4:$A$107,A81,$G$4:$G$107),"")</f>
        <v>0</v>
      </c>
    </row>
    <row r="82" customFormat="false" ht="19.5" hidden="false" customHeight="true" outlineLevel="0" collapsed="false">
      <c r="A82" s="38" t="n">
        <v>79</v>
      </c>
      <c r="B82" s="51"/>
      <c r="C82" s="40"/>
      <c r="D82" s="40"/>
      <c r="E82" s="41" t="str">
        <f aca="false">IFERROR(VLOOKUP(D82,'📦 Productos'!B:F,5,0),"")</f>
        <v/>
      </c>
      <c r="F82" s="42"/>
      <c r="G82" s="41" t="str">
        <f aca="false">IFERROR(IF(E82*F82&gt;0,E82*F82,""),"")</f>
        <v/>
      </c>
      <c r="H82" s="41" t="n">
        <f aca="false">IFERROR(VLOOKUP(D82,'📦 Productos'!B:E,4,0)*F82,0)</f>
        <v>0</v>
      </c>
      <c r="I82" s="41" t="str">
        <f aca="false">IFERROR(IF(ISNUMBER(G82),G82-H82,""),"")</f>
        <v/>
      </c>
      <c r="J82" s="40"/>
      <c r="K82" s="43" t="n">
        <f aca="false">IF(A82&lt;&gt;"",SUMIF($A$4:$A$107,A82,$G$4:$G$107),"")</f>
        <v>0</v>
      </c>
    </row>
    <row r="83" customFormat="false" ht="19.5" hidden="false" customHeight="true" outlineLevel="0" collapsed="false">
      <c r="A83" s="44" t="n">
        <v>80</v>
      </c>
      <c r="B83" s="50"/>
      <c r="C83" s="46"/>
      <c r="D83" s="46"/>
      <c r="E83" s="47" t="str">
        <f aca="false">IFERROR(VLOOKUP(D83,'📦 Productos'!B:F,5,0),"")</f>
        <v/>
      </c>
      <c r="F83" s="48"/>
      <c r="G83" s="47" t="str">
        <f aca="false">IFERROR(IF(E83*F83&gt;0,E83*F83,""),"")</f>
        <v/>
      </c>
      <c r="H83" s="47" t="n">
        <f aca="false">IFERROR(VLOOKUP(D83,'📦 Productos'!B:E,4,0)*F83,0)</f>
        <v>0</v>
      </c>
      <c r="I83" s="47" t="str">
        <f aca="false">IFERROR(IF(ISNUMBER(G83),G83-H83,""),"")</f>
        <v/>
      </c>
      <c r="J83" s="46"/>
      <c r="K83" s="49" t="n">
        <f aca="false">IF(A83&lt;&gt;"",SUMIF($A$4:$A$107,A83,$G$4:$G$107),"")</f>
        <v>0</v>
      </c>
    </row>
    <row r="84" customFormat="false" ht="19.5" hidden="false" customHeight="true" outlineLevel="0" collapsed="false">
      <c r="A84" s="38" t="n">
        <v>81</v>
      </c>
      <c r="B84" s="51"/>
      <c r="C84" s="40"/>
      <c r="D84" s="40"/>
      <c r="E84" s="41" t="str">
        <f aca="false">IFERROR(VLOOKUP(D84,'📦 Productos'!B:F,5,0),"")</f>
        <v/>
      </c>
      <c r="F84" s="42"/>
      <c r="G84" s="41" t="str">
        <f aca="false">IFERROR(IF(E84*F84&gt;0,E84*F84,""),"")</f>
        <v/>
      </c>
      <c r="H84" s="41" t="n">
        <f aca="false">IFERROR(VLOOKUP(D84,'📦 Productos'!B:E,4,0)*F84,0)</f>
        <v>0</v>
      </c>
      <c r="I84" s="41" t="str">
        <f aca="false">IFERROR(IF(ISNUMBER(G84),G84-H84,""),"")</f>
        <v/>
      </c>
      <c r="J84" s="40"/>
      <c r="K84" s="43" t="n">
        <f aca="false">IF(A84&lt;&gt;"",SUMIF($A$4:$A$107,A84,$G$4:$G$107),"")</f>
        <v>0</v>
      </c>
    </row>
    <row r="85" customFormat="false" ht="19.5" hidden="false" customHeight="true" outlineLevel="0" collapsed="false">
      <c r="A85" s="44" t="n">
        <v>82</v>
      </c>
      <c r="B85" s="50"/>
      <c r="C85" s="46"/>
      <c r="D85" s="46"/>
      <c r="E85" s="47" t="str">
        <f aca="false">IFERROR(VLOOKUP(D85,'📦 Productos'!B:F,5,0),"")</f>
        <v/>
      </c>
      <c r="F85" s="48"/>
      <c r="G85" s="47" t="str">
        <f aca="false">IFERROR(IF(E85*F85&gt;0,E85*F85,""),"")</f>
        <v/>
      </c>
      <c r="H85" s="47" t="n">
        <f aca="false">IFERROR(VLOOKUP(D85,'📦 Productos'!B:E,4,0)*F85,0)</f>
        <v>0</v>
      </c>
      <c r="I85" s="47" t="str">
        <f aca="false">IFERROR(IF(ISNUMBER(G85),G85-H85,""),"")</f>
        <v/>
      </c>
      <c r="J85" s="46"/>
      <c r="K85" s="49" t="n">
        <f aca="false">IF(A85&lt;&gt;"",SUMIF($A$4:$A$107,A85,$G$4:$G$107),"")</f>
        <v>0</v>
      </c>
    </row>
    <row r="86" customFormat="false" ht="19.5" hidden="false" customHeight="true" outlineLevel="0" collapsed="false">
      <c r="A86" s="38" t="n">
        <v>83</v>
      </c>
      <c r="B86" s="51"/>
      <c r="C86" s="40"/>
      <c r="D86" s="40"/>
      <c r="E86" s="41" t="str">
        <f aca="false">IFERROR(VLOOKUP(D86,'📦 Productos'!B:F,5,0),"")</f>
        <v/>
      </c>
      <c r="F86" s="42"/>
      <c r="G86" s="41" t="str">
        <f aca="false">IFERROR(IF(E86*F86&gt;0,E86*F86,""),"")</f>
        <v/>
      </c>
      <c r="H86" s="41" t="n">
        <f aca="false">IFERROR(VLOOKUP(D86,'📦 Productos'!B:E,4,0)*F86,0)</f>
        <v>0</v>
      </c>
      <c r="I86" s="41" t="str">
        <f aca="false">IFERROR(IF(ISNUMBER(G86),G86-H86,""),"")</f>
        <v/>
      </c>
      <c r="J86" s="40"/>
      <c r="K86" s="43" t="n">
        <f aca="false">IF(A86&lt;&gt;"",SUMIF($A$4:$A$107,A86,$G$4:$G$107),"")</f>
        <v>0</v>
      </c>
    </row>
    <row r="87" customFormat="false" ht="19.5" hidden="false" customHeight="true" outlineLevel="0" collapsed="false">
      <c r="A87" s="44" t="n">
        <v>84</v>
      </c>
      <c r="B87" s="50"/>
      <c r="C87" s="46"/>
      <c r="D87" s="46"/>
      <c r="E87" s="47" t="str">
        <f aca="false">IFERROR(VLOOKUP(D87,'📦 Productos'!B:F,5,0),"")</f>
        <v/>
      </c>
      <c r="F87" s="48"/>
      <c r="G87" s="47" t="str">
        <f aca="false">IFERROR(IF(E87*F87&gt;0,E87*F87,""),"")</f>
        <v/>
      </c>
      <c r="H87" s="47" t="n">
        <f aca="false">IFERROR(VLOOKUP(D87,'📦 Productos'!B:E,4,0)*F87,0)</f>
        <v>0</v>
      </c>
      <c r="I87" s="47" t="str">
        <f aca="false">IFERROR(IF(ISNUMBER(G87),G87-H87,""),"")</f>
        <v/>
      </c>
      <c r="J87" s="46"/>
      <c r="K87" s="49" t="n">
        <f aca="false">IF(A87&lt;&gt;"",SUMIF($A$4:$A$107,A87,$G$4:$G$107),"")</f>
        <v>0</v>
      </c>
    </row>
    <row r="88" customFormat="false" ht="19.5" hidden="false" customHeight="true" outlineLevel="0" collapsed="false">
      <c r="A88" s="38" t="n">
        <v>85</v>
      </c>
      <c r="B88" s="51"/>
      <c r="C88" s="40"/>
      <c r="D88" s="40"/>
      <c r="E88" s="41" t="str">
        <f aca="false">IFERROR(VLOOKUP(D88,'📦 Productos'!B:F,5,0),"")</f>
        <v/>
      </c>
      <c r="F88" s="42"/>
      <c r="G88" s="41" t="str">
        <f aca="false">IFERROR(IF(E88*F88&gt;0,E88*F88,""),"")</f>
        <v/>
      </c>
      <c r="H88" s="41" t="n">
        <f aca="false">IFERROR(VLOOKUP(D88,'📦 Productos'!B:E,4,0)*F88,0)</f>
        <v>0</v>
      </c>
      <c r="I88" s="41" t="str">
        <f aca="false">IFERROR(IF(ISNUMBER(G88),G88-H88,""),"")</f>
        <v/>
      </c>
      <c r="J88" s="40"/>
      <c r="K88" s="43" t="n">
        <f aca="false">IF(A88&lt;&gt;"",SUMIF($A$4:$A$107,A88,$G$4:$G$107),"")</f>
        <v>0</v>
      </c>
    </row>
    <row r="89" customFormat="false" ht="19.5" hidden="false" customHeight="true" outlineLevel="0" collapsed="false">
      <c r="A89" s="44" t="n">
        <v>86</v>
      </c>
      <c r="B89" s="50"/>
      <c r="C89" s="46"/>
      <c r="D89" s="46"/>
      <c r="E89" s="47" t="str">
        <f aca="false">IFERROR(VLOOKUP(D89,'📦 Productos'!B:F,5,0),"")</f>
        <v/>
      </c>
      <c r="F89" s="48"/>
      <c r="G89" s="47" t="str">
        <f aca="false">IFERROR(IF(E89*F89&gt;0,E89*F89,""),"")</f>
        <v/>
      </c>
      <c r="H89" s="47" t="n">
        <f aca="false">IFERROR(VLOOKUP(D89,'📦 Productos'!B:E,4,0)*F89,0)</f>
        <v>0</v>
      </c>
      <c r="I89" s="47" t="str">
        <f aca="false">IFERROR(IF(ISNUMBER(G89),G89-H89,""),"")</f>
        <v/>
      </c>
      <c r="J89" s="46"/>
      <c r="K89" s="49" t="n">
        <f aca="false">IF(A89&lt;&gt;"",SUMIF($A$4:$A$107,A89,$G$4:$G$107),"")</f>
        <v>0</v>
      </c>
    </row>
    <row r="90" customFormat="false" ht="19.5" hidden="false" customHeight="true" outlineLevel="0" collapsed="false">
      <c r="A90" s="38" t="n">
        <v>87</v>
      </c>
      <c r="B90" s="51"/>
      <c r="C90" s="40"/>
      <c r="D90" s="40"/>
      <c r="E90" s="41" t="str">
        <f aca="false">IFERROR(VLOOKUP(D90,'📦 Productos'!B:F,5,0),"")</f>
        <v/>
      </c>
      <c r="F90" s="42"/>
      <c r="G90" s="41" t="str">
        <f aca="false">IFERROR(IF(E90*F90&gt;0,E90*F90,""),"")</f>
        <v/>
      </c>
      <c r="H90" s="41" t="n">
        <f aca="false">IFERROR(VLOOKUP(D90,'📦 Productos'!B:E,4,0)*F90,0)</f>
        <v>0</v>
      </c>
      <c r="I90" s="41" t="str">
        <f aca="false">IFERROR(IF(ISNUMBER(G90),G90-H90,""),"")</f>
        <v/>
      </c>
      <c r="J90" s="40"/>
      <c r="K90" s="43" t="n">
        <f aca="false">IF(A90&lt;&gt;"",SUMIF($A$4:$A$107,A90,$G$4:$G$107),"")</f>
        <v>0</v>
      </c>
    </row>
    <row r="91" customFormat="false" ht="19.5" hidden="false" customHeight="true" outlineLevel="0" collapsed="false">
      <c r="A91" s="44" t="n">
        <v>88</v>
      </c>
      <c r="B91" s="50"/>
      <c r="C91" s="46"/>
      <c r="D91" s="46"/>
      <c r="E91" s="47" t="str">
        <f aca="false">IFERROR(VLOOKUP(D91,'📦 Productos'!B:F,5,0),"")</f>
        <v/>
      </c>
      <c r="F91" s="48"/>
      <c r="G91" s="47" t="str">
        <f aca="false">IFERROR(IF(E91*F91&gt;0,E91*F91,""),"")</f>
        <v/>
      </c>
      <c r="H91" s="47" t="n">
        <f aca="false">IFERROR(VLOOKUP(D91,'📦 Productos'!B:E,4,0)*F91,0)</f>
        <v>0</v>
      </c>
      <c r="I91" s="47" t="str">
        <f aca="false">IFERROR(IF(ISNUMBER(G91),G91-H91,""),"")</f>
        <v/>
      </c>
      <c r="J91" s="46"/>
      <c r="K91" s="49" t="n">
        <f aca="false">IF(A91&lt;&gt;"",SUMIF($A$4:$A$107,A91,$G$4:$G$107),"")</f>
        <v>0</v>
      </c>
    </row>
    <row r="92" customFormat="false" ht="19.5" hidden="false" customHeight="true" outlineLevel="0" collapsed="false">
      <c r="A92" s="38" t="n">
        <v>89</v>
      </c>
      <c r="B92" s="51"/>
      <c r="C92" s="40"/>
      <c r="D92" s="40"/>
      <c r="E92" s="41" t="str">
        <f aca="false">IFERROR(VLOOKUP(D92,'📦 Productos'!B:F,5,0),"")</f>
        <v/>
      </c>
      <c r="F92" s="42"/>
      <c r="G92" s="41" t="str">
        <f aca="false">IFERROR(IF(E92*F92&gt;0,E92*F92,""),"")</f>
        <v/>
      </c>
      <c r="H92" s="41" t="n">
        <f aca="false">IFERROR(VLOOKUP(D92,'📦 Productos'!B:E,4,0)*F92,0)</f>
        <v>0</v>
      </c>
      <c r="I92" s="41" t="str">
        <f aca="false">IFERROR(IF(ISNUMBER(G92),G92-H92,""),"")</f>
        <v/>
      </c>
      <c r="J92" s="40"/>
      <c r="K92" s="43" t="n">
        <f aca="false">IF(A92&lt;&gt;"",SUMIF($A$4:$A$107,A92,$G$4:$G$107),"")</f>
        <v>0</v>
      </c>
    </row>
    <row r="93" customFormat="false" ht="19.5" hidden="false" customHeight="true" outlineLevel="0" collapsed="false">
      <c r="A93" s="44" t="n">
        <v>90</v>
      </c>
      <c r="B93" s="50"/>
      <c r="C93" s="46"/>
      <c r="D93" s="46"/>
      <c r="E93" s="47" t="str">
        <f aca="false">IFERROR(VLOOKUP(D93,'📦 Productos'!B:F,5,0),"")</f>
        <v/>
      </c>
      <c r="F93" s="48"/>
      <c r="G93" s="47" t="str">
        <f aca="false">IFERROR(IF(E93*F93&gt;0,E93*F93,""),"")</f>
        <v/>
      </c>
      <c r="H93" s="47" t="n">
        <f aca="false">IFERROR(VLOOKUP(D93,'📦 Productos'!B:E,4,0)*F93,0)</f>
        <v>0</v>
      </c>
      <c r="I93" s="47" t="str">
        <f aca="false">IFERROR(IF(ISNUMBER(G93),G93-H93,""),"")</f>
        <v/>
      </c>
      <c r="J93" s="46"/>
      <c r="K93" s="49" t="n">
        <f aca="false">IF(A93&lt;&gt;"",SUMIF($A$4:$A$107,A93,$G$4:$G$107),"")</f>
        <v>0</v>
      </c>
    </row>
    <row r="94" customFormat="false" ht="19.5" hidden="false" customHeight="true" outlineLevel="0" collapsed="false">
      <c r="A94" s="38" t="n">
        <v>91</v>
      </c>
      <c r="B94" s="51"/>
      <c r="C94" s="40"/>
      <c r="D94" s="40"/>
      <c r="E94" s="41" t="str">
        <f aca="false">IFERROR(VLOOKUP(D94,'📦 Productos'!B:F,5,0),"")</f>
        <v/>
      </c>
      <c r="F94" s="42"/>
      <c r="G94" s="41" t="str">
        <f aca="false">IFERROR(IF(E94*F94&gt;0,E94*F94,""),"")</f>
        <v/>
      </c>
      <c r="H94" s="41" t="n">
        <f aca="false">IFERROR(VLOOKUP(D94,'📦 Productos'!B:E,4,0)*F94,0)</f>
        <v>0</v>
      </c>
      <c r="I94" s="41" t="str">
        <f aca="false">IFERROR(IF(ISNUMBER(G94),G94-H94,""),"")</f>
        <v/>
      </c>
      <c r="J94" s="40"/>
      <c r="K94" s="43" t="n">
        <f aca="false">IF(A94&lt;&gt;"",SUMIF($A$4:$A$107,A94,$G$4:$G$107),"")</f>
        <v>0</v>
      </c>
    </row>
    <row r="95" customFormat="false" ht="19.5" hidden="false" customHeight="true" outlineLevel="0" collapsed="false">
      <c r="A95" s="44" t="n">
        <v>92</v>
      </c>
      <c r="B95" s="50"/>
      <c r="C95" s="46"/>
      <c r="D95" s="46"/>
      <c r="E95" s="47" t="str">
        <f aca="false">IFERROR(VLOOKUP(D95,'📦 Productos'!B:F,5,0),"")</f>
        <v/>
      </c>
      <c r="F95" s="48"/>
      <c r="G95" s="47" t="str">
        <f aca="false">IFERROR(IF(E95*F95&gt;0,E95*F95,""),"")</f>
        <v/>
      </c>
      <c r="H95" s="47" t="n">
        <f aca="false">IFERROR(VLOOKUP(D95,'📦 Productos'!B:E,4,0)*F95,0)</f>
        <v>0</v>
      </c>
      <c r="I95" s="47" t="str">
        <f aca="false">IFERROR(IF(ISNUMBER(G95),G95-H95,""),"")</f>
        <v/>
      </c>
      <c r="J95" s="46"/>
      <c r="K95" s="49" t="n">
        <f aca="false">IF(A95&lt;&gt;"",SUMIF($A$4:$A$107,A95,$G$4:$G$107),"")</f>
        <v>0</v>
      </c>
    </row>
    <row r="96" customFormat="false" ht="19.5" hidden="false" customHeight="true" outlineLevel="0" collapsed="false">
      <c r="A96" s="38" t="n">
        <v>93</v>
      </c>
      <c r="B96" s="51"/>
      <c r="C96" s="40"/>
      <c r="D96" s="40"/>
      <c r="E96" s="41" t="str">
        <f aca="false">IFERROR(VLOOKUP(D96,'📦 Productos'!B:F,5,0),"")</f>
        <v/>
      </c>
      <c r="F96" s="42"/>
      <c r="G96" s="41" t="str">
        <f aca="false">IFERROR(IF(E96*F96&gt;0,E96*F96,""),"")</f>
        <v/>
      </c>
      <c r="H96" s="41" t="n">
        <f aca="false">IFERROR(VLOOKUP(D96,'📦 Productos'!B:E,4,0)*F96,0)</f>
        <v>0</v>
      </c>
      <c r="I96" s="41" t="str">
        <f aca="false">IFERROR(IF(ISNUMBER(G96),G96-H96,""),"")</f>
        <v/>
      </c>
      <c r="J96" s="40"/>
      <c r="K96" s="43" t="n">
        <f aca="false">IF(A96&lt;&gt;"",SUMIF($A$4:$A$107,A96,$G$4:$G$107),"")</f>
        <v>0</v>
      </c>
    </row>
    <row r="97" customFormat="false" ht="19.5" hidden="false" customHeight="true" outlineLevel="0" collapsed="false">
      <c r="A97" s="44" t="n">
        <v>94</v>
      </c>
      <c r="B97" s="50"/>
      <c r="C97" s="46"/>
      <c r="D97" s="46"/>
      <c r="E97" s="47" t="str">
        <f aca="false">IFERROR(VLOOKUP(D97,'📦 Productos'!B:F,5,0),"")</f>
        <v/>
      </c>
      <c r="F97" s="48"/>
      <c r="G97" s="47" t="str">
        <f aca="false">IFERROR(IF(E97*F97&gt;0,E97*F97,""),"")</f>
        <v/>
      </c>
      <c r="H97" s="47" t="n">
        <f aca="false">IFERROR(VLOOKUP(D97,'📦 Productos'!B:E,4,0)*F97,0)</f>
        <v>0</v>
      </c>
      <c r="I97" s="47" t="str">
        <f aca="false">IFERROR(IF(ISNUMBER(G97),G97-H97,""),"")</f>
        <v/>
      </c>
      <c r="J97" s="46"/>
      <c r="K97" s="49" t="n">
        <f aca="false">IF(A97&lt;&gt;"",SUMIF($A$4:$A$107,A97,$G$4:$G$107),"")</f>
        <v>0</v>
      </c>
    </row>
    <row r="98" customFormat="false" ht="19.5" hidden="false" customHeight="true" outlineLevel="0" collapsed="false">
      <c r="A98" s="38" t="n">
        <v>95</v>
      </c>
      <c r="B98" s="51"/>
      <c r="C98" s="40"/>
      <c r="D98" s="40"/>
      <c r="E98" s="41" t="str">
        <f aca="false">IFERROR(VLOOKUP(D98,'📦 Productos'!B:F,5,0),"")</f>
        <v/>
      </c>
      <c r="F98" s="42"/>
      <c r="G98" s="41" t="str">
        <f aca="false">IFERROR(IF(E98*F98&gt;0,E98*F98,""),"")</f>
        <v/>
      </c>
      <c r="H98" s="41" t="n">
        <f aca="false">IFERROR(VLOOKUP(D98,'📦 Productos'!B:E,4,0)*F98,0)</f>
        <v>0</v>
      </c>
      <c r="I98" s="41" t="str">
        <f aca="false">IFERROR(IF(ISNUMBER(G98),G98-H98,""),"")</f>
        <v/>
      </c>
      <c r="J98" s="40"/>
      <c r="K98" s="43" t="n">
        <f aca="false">IF(A98&lt;&gt;"",SUMIF($A$4:$A$107,A98,$G$4:$G$107),"")</f>
        <v>0</v>
      </c>
    </row>
    <row r="99" customFormat="false" ht="19.5" hidden="false" customHeight="true" outlineLevel="0" collapsed="false">
      <c r="A99" s="44" t="n">
        <v>96</v>
      </c>
      <c r="B99" s="50"/>
      <c r="C99" s="46"/>
      <c r="D99" s="46"/>
      <c r="E99" s="47" t="str">
        <f aca="false">IFERROR(VLOOKUP(D99,'📦 Productos'!B:F,5,0),"")</f>
        <v/>
      </c>
      <c r="F99" s="48"/>
      <c r="G99" s="47" t="str">
        <f aca="false">IFERROR(IF(E99*F99&gt;0,E99*F99,""),"")</f>
        <v/>
      </c>
      <c r="H99" s="47" t="n">
        <f aca="false">IFERROR(VLOOKUP(D99,'📦 Productos'!B:E,4,0)*F99,0)</f>
        <v>0</v>
      </c>
      <c r="I99" s="47" t="str">
        <f aca="false">IFERROR(IF(ISNUMBER(G99),G99-H99,""),"")</f>
        <v/>
      </c>
      <c r="J99" s="46"/>
      <c r="K99" s="49" t="n">
        <f aca="false">IF(A99&lt;&gt;"",SUMIF($A$4:$A$107,A99,$G$4:$G$107),"")</f>
        <v>0</v>
      </c>
    </row>
    <row r="100" customFormat="false" ht="19.5" hidden="false" customHeight="true" outlineLevel="0" collapsed="false">
      <c r="A100" s="38" t="n">
        <v>97</v>
      </c>
      <c r="B100" s="51"/>
      <c r="C100" s="40"/>
      <c r="D100" s="40"/>
      <c r="E100" s="41" t="str">
        <f aca="false">IFERROR(VLOOKUP(D100,'📦 Productos'!B:F,5,0),"")</f>
        <v/>
      </c>
      <c r="F100" s="42"/>
      <c r="G100" s="41" t="str">
        <f aca="false">IFERROR(IF(E100*F100&gt;0,E100*F100,""),"")</f>
        <v/>
      </c>
      <c r="H100" s="41" t="n">
        <f aca="false">IFERROR(VLOOKUP(D100,'📦 Productos'!B:E,4,0)*F100,0)</f>
        <v>0</v>
      </c>
      <c r="I100" s="41" t="str">
        <f aca="false">IFERROR(IF(ISNUMBER(G100),G100-H100,""),"")</f>
        <v/>
      </c>
      <c r="J100" s="40"/>
      <c r="K100" s="43" t="n">
        <f aca="false">IF(A100&lt;&gt;"",SUMIF($A$4:$A$107,A100,$G$4:$G$107),"")</f>
        <v>0</v>
      </c>
    </row>
    <row r="101" customFormat="false" ht="19.5" hidden="false" customHeight="true" outlineLevel="0" collapsed="false">
      <c r="A101" s="44" t="n">
        <v>98</v>
      </c>
      <c r="B101" s="50"/>
      <c r="C101" s="46"/>
      <c r="D101" s="46"/>
      <c r="E101" s="47" t="str">
        <f aca="false">IFERROR(VLOOKUP(D101,'📦 Productos'!B:F,5,0),"")</f>
        <v/>
      </c>
      <c r="F101" s="48"/>
      <c r="G101" s="47" t="str">
        <f aca="false">IFERROR(IF(E101*F101&gt;0,E101*F101,""),"")</f>
        <v/>
      </c>
      <c r="H101" s="47" t="n">
        <f aca="false">IFERROR(VLOOKUP(D101,'📦 Productos'!B:E,4,0)*F101,0)</f>
        <v>0</v>
      </c>
      <c r="I101" s="47" t="str">
        <f aca="false">IFERROR(IF(ISNUMBER(G101),G101-H101,""),"")</f>
        <v/>
      </c>
      <c r="J101" s="46"/>
      <c r="K101" s="49" t="n">
        <f aca="false">IF(A101&lt;&gt;"",SUMIF($A$4:$A$107,A101,$G$4:$G$107),"")</f>
        <v>0</v>
      </c>
    </row>
    <row r="102" customFormat="false" ht="19.5" hidden="false" customHeight="true" outlineLevel="0" collapsed="false">
      <c r="A102" s="38" t="n">
        <v>99</v>
      </c>
      <c r="B102" s="51"/>
      <c r="C102" s="40"/>
      <c r="D102" s="40"/>
      <c r="E102" s="41" t="str">
        <f aca="false">IFERROR(VLOOKUP(D102,'📦 Productos'!B:F,5,0),"")</f>
        <v/>
      </c>
      <c r="F102" s="42"/>
      <c r="G102" s="41" t="str">
        <f aca="false">IFERROR(IF(E102*F102&gt;0,E102*F102,""),"")</f>
        <v/>
      </c>
      <c r="H102" s="41" t="n">
        <f aca="false">IFERROR(VLOOKUP(D102,'📦 Productos'!B:E,4,0)*F102,0)</f>
        <v>0</v>
      </c>
      <c r="I102" s="41" t="str">
        <f aca="false">IFERROR(IF(ISNUMBER(G102),G102-H102,""),"")</f>
        <v/>
      </c>
      <c r="J102" s="40"/>
      <c r="K102" s="43" t="n">
        <f aca="false">IF(A102&lt;&gt;"",SUMIF($A$4:$A$107,A102,$G$4:$G$107),"")</f>
        <v>0</v>
      </c>
    </row>
    <row r="103" customFormat="false" ht="19.5" hidden="false" customHeight="true" outlineLevel="0" collapsed="false">
      <c r="A103" s="44" t="n">
        <v>100</v>
      </c>
      <c r="B103" s="50"/>
      <c r="C103" s="46"/>
      <c r="D103" s="46"/>
      <c r="E103" s="47" t="str">
        <f aca="false">IFERROR(VLOOKUP(D103,'📦 Productos'!B:F,5,0),"")</f>
        <v/>
      </c>
      <c r="F103" s="48"/>
      <c r="G103" s="47" t="str">
        <f aca="false">IFERROR(IF(E103*F103&gt;0,E103*F103,""),"")</f>
        <v/>
      </c>
      <c r="H103" s="47" t="n">
        <f aca="false">IFERROR(VLOOKUP(D103,'📦 Productos'!B:E,4,0)*F103,0)</f>
        <v>0</v>
      </c>
      <c r="I103" s="47" t="str">
        <f aca="false">IFERROR(IF(ISNUMBER(G103),G103-H103,""),"")</f>
        <v/>
      </c>
      <c r="J103" s="46"/>
      <c r="K103" s="49" t="n">
        <f aca="false">IF(A103&lt;&gt;"",SUMIF($A$4:$A$107,A103,$G$4:$G$107),"")</f>
        <v>0</v>
      </c>
    </row>
    <row r="104" customFormat="false" ht="19.5" hidden="false" customHeight="true" outlineLevel="0" collapsed="false">
      <c r="A104" s="38" t="n">
        <v>101</v>
      </c>
      <c r="B104" s="51"/>
      <c r="C104" s="40"/>
      <c r="D104" s="40"/>
      <c r="E104" s="41" t="str">
        <f aca="false">IFERROR(VLOOKUP(D104,'📦 Productos'!B:F,5,0),"")</f>
        <v/>
      </c>
      <c r="F104" s="42"/>
      <c r="G104" s="41" t="str">
        <f aca="false">IFERROR(IF(E104*F104&gt;0,E104*F104,""),"")</f>
        <v/>
      </c>
      <c r="H104" s="41" t="n">
        <f aca="false">IFERROR(VLOOKUP(D104,'📦 Productos'!B:E,4,0)*F104,0)</f>
        <v>0</v>
      </c>
      <c r="I104" s="41" t="str">
        <f aca="false">IFERROR(IF(ISNUMBER(G104),G104-H104,""),"")</f>
        <v/>
      </c>
      <c r="J104" s="40"/>
      <c r="K104" s="43" t="n">
        <f aca="false">IF(A104&lt;&gt;"",SUMIF($A$4:$A$107,A104,$G$4:$G$107),"")</f>
        <v>0</v>
      </c>
    </row>
    <row r="105" customFormat="false" ht="19.5" hidden="false" customHeight="true" outlineLevel="0" collapsed="false">
      <c r="A105" s="44" t="n">
        <v>102</v>
      </c>
      <c r="B105" s="50"/>
      <c r="C105" s="46"/>
      <c r="D105" s="46"/>
      <c r="E105" s="47" t="str">
        <f aca="false">IFERROR(VLOOKUP(D105,'📦 Productos'!B:F,5,0),"")</f>
        <v/>
      </c>
      <c r="F105" s="48"/>
      <c r="G105" s="47" t="str">
        <f aca="false">IFERROR(IF(E105*F105&gt;0,E105*F105,""),"")</f>
        <v/>
      </c>
      <c r="H105" s="47" t="n">
        <f aca="false">IFERROR(VLOOKUP(D105,'📦 Productos'!B:E,4,0)*F105,0)</f>
        <v>0</v>
      </c>
      <c r="I105" s="47" t="str">
        <f aca="false">IFERROR(IF(ISNUMBER(G105),G105-H105,""),"")</f>
        <v/>
      </c>
      <c r="J105" s="46"/>
      <c r="K105" s="49" t="n">
        <f aca="false">IF(A105&lt;&gt;"",SUMIF($A$4:$A$107,A105,$G$4:$G$107),"")</f>
        <v>0</v>
      </c>
    </row>
    <row r="106" customFormat="false" ht="19.5" hidden="false" customHeight="true" outlineLevel="0" collapsed="false">
      <c r="A106" s="38" t="n">
        <v>103</v>
      </c>
      <c r="B106" s="51"/>
      <c r="C106" s="40"/>
      <c r="D106" s="40"/>
      <c r="E106" s="41" t="str">
        <f aca="false">IFERROR(VLOOKUP(D106,'📦 Productos'!B:F,5,0),"")</f>
        <v/>
      </c>
      <c r="F106" s="42"/>
      <c r="G106" s="41" t="str">
        <f aca="false">IFERROR(IF(E106*F106&gt;0,E106*F106,""),"")</f>
        <v/>
      </c>
      <c r="H106" s="41" t="n">
        <f aca="false">IFERROR(VLOOKUP(D106,'📦 Productos'!B:E,4,0)*F106,0)</f>
        <v>0</v>
      </c>
      <c r="I106" s="41" t="str">
        <f aca="false">IFERROR(IF(ISNUMBER(G106),G106-H106,""),"")</f>
        <v/>
      </c>
      <c r="J106" s="40"/>
      <c r="K106" s="43" t="n">
        <f aca="false">IF(A106&lt;&gt;"",SUMIF($A$4:$A$107,A106,$G$4:$G$107),"")</f>
        <v>0</v>
      </c>
    </row>
    <row r="107" customFormat="false" ht="19.5" hidden="false" customHeight="true" outlineLevel="0" collapsed="false">
      <c r="A107" s="44" t="n">
        <v>104</v>
      </c>
      <c r="B107" s="50"/>
      <c r="C107" s="46"/>
      <c r="D107" s="46"/>
      <c r="E107" s="47" t="str">
        <f aca="false">IFERROR(VLOOKUP(D107,'📦 Productos'!B:F,5,0),"")</f>
        <v/>
      </c>
      <c r="F107" s="48"/>
      <c r="G107" s="47" t="str">
        <f aca="false">IFERROR(IF(E107*F107&gt;0,E107*F107,""),"")</f>
        <v/>
      </c>
      <c r="H107" s="47" t="n">
        <f aca="false">IFERROR(VLOOKUP(D107,'📦 Productos'!B:E,4,0)*F107,0)</f>
        <v>0</v>
      </c>
      <c r="I107" s="47" t="str">
        <f aca="false">IFERROR(IF(ISNUMBER(G107),G107-H107,""),"")</f>
        <v/>
      </c>
      <c r="J107" s="46"/>
      <c r="K107" s="49" t="n">
        <f aca="false">IF(A107&lt;&gt;"",SUMIF($A$4:$A$107,A107,$G$4:$G$107),"")</f>
        <v>0</v>
      </c>
    </row>
    <row r="108" customFormat="false" ht="24.75" hidden="false" customHeight="true" outlineLevel="0" collapsed="false">
      <c r="A108" s="52" t="s">
        <v>132</v>
      </c>
      <c r="B108" s="52"/>
      <c r="C108" s="52"/>
      <c r="D108" s="52"/>
      <c r="E108" s="52"/>
      <c r="F108" s="52"/>
      <c r="G108" s="53" t="n">
        <f aca="false">SUM(G4:G107)</f>
        <v>366796.5</v>
      </c>
      <c r="H108" s="53" t="n">
        <f aca="false">SUM(H4:H107)</f>
        <v>259025.22</v>
      </c>
      <c r="I108" s="53" t="n">
        <f aca="false">SUM(I4:I107)</f>
        <v>107771.28</v>
      </c>
      <c r="J108" s="54"/>
      <c r="K108" s="55"/>
    </row>
  </sheetData>
  <mergeCells count="3">
    <mergeCell ref="A1:I1"/>
    <mergeCell ref="A2:I2"/>
    <mergeCell ref="A108:F108"/>
  </mergeCells>
  <dataValidations count="3">
    <dataValidation allowBlank="true" errorStyle="stop" operator="between" showDropDown="false" showErrorMessage="false" showInputMessage="false" sqref="C4:C107" type="list">
      <formula1>"Aceitunas,Embutidos,Frutos Secos,Huevos,Mantequillas,Mermeladas,QuesoCabra,Quesos"</formula1>
      <formula2>0</formula2>
    </dataValidation>
    <dataValidation allowBlank="true" errorStyle="stop" operator="between" showDropDown="false" showErrorMessage="false" showInputMessage="false" sqref="D4:D107" type="list">
      <formula1>INDIRECT(SUBSTITUTE($C4," ","_"))</formula1>
      <formula2>0</formula2>
    </dataValidation>
    <dataValidation allowBlank="true" errorStyle="stop" operator="between" showDropDown="false" showErrorMessage="false" showInputMessage="false" sqref="J4:J107" type="list">
      <formula1>"Efectivo,Tarjeta"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1" activeCellId="0" sqref="H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6" min="6" style="1" width="11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7.76"/>
  </cols>
  <sheetData>
    <row r="1" customFormat="false" ht="37.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  <c r="K1" s="26"/>
    </row>
    <row r="2" customFormat="false" ht="14.25" hidden="false" customHeight="tru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27.75" hidden="false" customHeight="true" outlineLevel="0" collapsed="false">
      <c r="A3" s="56" t="s">
        <v>134</v>
      </c>
      <c r="B3" s="56"/>
      <c r="C3" s="56"/>
      <c r="D3" s="56"/>
      <c r="E3" s="56"/>
      <c r="F3" s="56"/>
      <c r="G3" s="56"/>
      <c r="H3" s="56"/>
      <c r="I3" s="26"/>
      <c r="J3" s="26"/>
      <c r="K3" s="26"/>
    </row>
    <row r="4" customFormat="false" ht="21.75" hidden="false" customHeight="true" outlineLevel="0" collapsed="false">
      <c r="A4" s="4" t="s">
        <v>4</v>
      </c>
      <c r="B4" s="4" t="s">
        <v>135</v>
      </c>
      <c r="C4" s="4" t="s">
        <v>136</v>
      </c>
      <c r="D4" s="4" t="s">
        <v>137</v>
      </c>
      <c r="E4" s="4" t="s">
        <v>124</v>
      </c>
      <c r="F4" s="4" t="s">
        <v>9</v>
      </c>
      <c r="G4" s="4" t="s">
        <v>138</v>
      </c>
      <c r="H4" s="4" t="s">
        <v>139</v>
      </c>
      <c r="I4" s="26"/>
      <c r="J4" s="26"/>
      <c r="K4" s="26"/>
    </row>
    <row r="5" customFormat="false" ht="19.5" hidden="false" customHeight="true" outlineLevel="0" collapsed="false">
      <c r="A5" s="57" t="s">
        <v>11</v>
      </c>
      <c r="B5" s="58" t="n">
        <f aca="false">SUMIF('🛒 Ventas del Día'!C$4:C$107,A5,'🛒 Ventas del Día'!F$4:F$107)</f>
        <v>2</v>
      </c>
      <c r="C5" s="47" t="n">
        <f aca="false">SUMIF('🛒 Ventas del Día'!C$4:C$107,A5,'🛒 Ventas del Día'!G$4:G$107)</f>
        <v>12800</v>
      </c>
      <c r="D5" s="47" t="n">
        <f aca="false">IFERROR(SUMIF('🛒 Ventas del Día'!C$4:C$107,A5,'🛒 Ventas del Día'!H$4:H$107),0)</f>
        <v>8000</v>
      </c>
      <c r="E5" s="20" t="n">
        <f aca="false">C5-D5</f>
        <v>4800</v>
      </c>
      <c r="F5" s="59" t="n">
        <f aca="false">IF(C5&gt;0,(C5-D5)/C5,0)</f>
        <v>0.375</v>
      </c>
      <c r="G5" s="60" t="n">
        <f aca="false">IF(C$13&gt;0,C5/C$13,0)</f>
        <v>0.0353301784588038</v>
      </c>
      <c r="H5" s="47" t="n">
        <v>0</v>
      </c>
      <c r="I5" s="26"/>
      <c r="J5" s="26"/>
      <c r="K5" s="26"/>
    </row>
    <row r="6" customFormat="false" ht="19.5" hidden="false" customHeight="true" outlineLevel="0" collapsed="false">
      <c r="A6" s="61" t="s">
        <v>24</v>
      </c>
      <c r="B6" s="62" t="n">
        <f aca="false">SUMIF('🛒 Ventas del Día'!C$4:C$107,A6,'🛒 Ventas del Día'!F$4:F$107)</f>
        <v>0</v>
      </c>
      <c r="C6" s="41" t="n">
        <f aca="false">SUMIF('🛒 Ventas del Día'!C$4:C$107,A6,'🛒 Ventas del Día'!G$4:G$107)</f>
        <v>0</v>
      </c>
      <c r="D6" s="41" t="n">
        <f aca="false">IFERROR(SUMIF('🛒 Ventas del Día'!C$4:C$107,A6,'🛒 Ventas del Día'!H$4:H$107),0)</f>
        <v>0</v>
      </c>
      <c r="E6" s="13" t="n">
        <f aca="false">C6-D6</f>
        <v>0</v>
      </c>
      <c r="F6" s="63" t="n">
        <f aca="false">IF(C6&gt;0,(C6-D6)/C6,0)</f>
        <v>0</v>
      </c>
      <c r="G6" s="64" t="n">
        <f aca="false">IF(C$13&gt;0,C6/C$13,0)</f>
        <v>0</v>
      </c>
      <c r="H6" s="41" t="n">
        <v>0</v>
      </c>
      <c r="I6" s="26"/>
      <c r="J6" s="26"/>
      <c r="K6" s="26"/>
    </row>
    <row r="7" customFormat="false" ht="19.5" hidden="false" customHeight="true" outlineLevel="0" collapsed="false">
      <c r="A7" s="57" t="s">
        <v>32</v>
      </c>
      <c r="B7" s="58" t="n">
        <f aca="false">SUMIF('🛒 Ventas del Día'!C$4:C$107,A7,'🛒 Ventas del Día'!F$4:F$107)</f>
        <v>9.045</v>
      </c>
      <c r="C7" s="47" t="n">
        <f aca="false">SUMIF('🛒 Ventas del Día'!C$4:C$107,A7,'🛒 Ventas del Día'!G$4:G$107)</f>
        <v>29396.5</v>
      </c>
      <c r="D7" s="47" t="n">
        <f aca="false">IFERROR(SUMIF('🛒 Ventas del Día'!C$4:C$107,A7,'🛒 Ventas del Día'!H$4:H$107),0)</f>
        <v>18905.9</v>
      </c>
      <c r="E7" s="20" t="n">
        <f aca="false">C7-D7</f>
        <v>10490.6</v>
      </c>
      <c r="F7" s="59" t="n">
        <f aca="false">IF(C7&gt;0,(C7-D7)/C7,0)</f>
        <v>0.356865613253278</v>
      </c>
      <c r="G7" s="60" t="n">
        <f aca="false">IF(C$13&gt;0,C7/C$13,0)</f>
        <v>0.0811393430518926</v>
      </c>
      <c r="H7" s="47" t="n">
        <v>0</v>
      </c>
      <c r="I7" s="26"/>
      <c r="J7" s="26"/>
      <c r="K7" s="26"/>
    </row>
    <row r="8" customFormat="false" ht="19.5" hidden="false" customHeight="true" outlineLevel="0" collapsed="false">
      <c r="A8" s="61" t="s">
        <v>58</v>
      </c>
      <c r="B8" s="62" t="n">
        <f aca="false">SUMIF('🛒 Ventas del Día'!C$4:C$107,A8,'🛒 Ventas del Día'!F$4:F$107)</f>
        <v>23</v>
      </c>
      <c r="C8" s="41" t="n">
        <f aca="false">SUMIF('🛒 Ventas del Día'!C$4:C$107,A8,'🛒 Ventas del Día'!G$4:G$107)</f>
        <v>262000</v>
      </c>
      <c r="D8" s="41" t="n">
        <f aca="false">IFERROR(SUMIF('🛒 Ventas del Día'!C$4:C$107,A8,'🛒 Ventas del Día'!H$4:H$107),0)</f>
        <v>199091</v>
      </c>
      <c r="E8" s="13" t="n">
        <f aca="false">C8-D8</f>
        <v>62909</v>
      </c>
      <c r="F8" s="63" t="n">
        <f aca="false">IF(C8&gt;0,(C8-D8)/C8,0)</f>
        <v>0.240110687022901</v>
      </c>
      <c r="G8" s="64" t="n">
        <f aca="false">IF(C$13&gt;0,C8/C$13,0)</f>
        <v>0.72316459032864</v>
      </c>
      <c r="H8" s="41" t="n">
        <v>0</v>
      </c>
      <c r="I8" s="26"/>
      <c r="J8" s="26"/>
      <c r="K8" s="26"/>
    </row>
    <row r="9" customFormat="false" ht="19.5" hidden="false" customHeight="true" outlineLevel="0" collapsed="false">
      <c r="A9" s="57" t="s">
        <v>83</v>
      </c>
      <c r="B9" s="58" t="n">
        <f aca="false">SUMIF('🛒 Ventas del Día'!C$4:C$107,A9,'🛒 Ventas del Día'!F$4:F$107)</f>
        <v>2</v>
      </c>
      <c r="C9" s="47" t="n">
        <f aca="false">SUMIF('🛒 Ventas del Día'!C$4:C$107,A9,'🛒 Ventas del Día'!G$4:G$107)</f>
        <v>6100</v>
      </c>
      <c r="D9" s="47" t="n">
        <f aca="false">IFERROR(SUMIF('🛒 Ventas del Día'!C$4:C$107,A9,'🛒 Ventas del Día'!H$4:H$107),0)</f>
        <v>4364.52</v>
      </c>
      <c r="E9" s="20" t="n">
        <f aca="false">C9-D9</f>
        <v>1735.48</v>
      </c>
      <c r="F9" s="59" t="n">
        <f aca="false">IF(C9&gt;0,(C9-D9)/C9,0)</f>
        <v>0.284504918032787</v>
      </c>
      <c r="G9" s="60" t="n">
        <f aca="false">IF(C$13&gt;0,C9/C$13,0)</f>
        <v>0.0168370381717737</v>
      </c>
      <c r="H9" s="47" t="n">
        <v>0</v>
      </c>
      <c r="I9" s="26"/>
      <c r="J9" s="26"/>
      <c r="K9" s="26"/>
    </row>
    <row r="10" customFormat="false" ht="19.5" hidden="false" customHeight="true" outlineLevel="0" collapsed="false">
      <c r="A10" s="61" t="s">
        <v>87</v>
      </c>
      <c r="B10" s="62" t="n">
        <f aca="false">SUMIF('🛒 Ventas del Día'!C$4:C$107,A10,'🛒 Ventas del Día'!F$4:F$107)</f>
        <v>1</v>
      </c>
      <c r="C10" s="41" t="n">
        <f aca="false">SUMIF('🛒 Ventas del Día'!C$4:C$107,A10,'🛒 Ventas del Día'!G$4:G$107)</f>
        <v>3500</v>
      </c>
      <c r="D10" s="41" t="n">
        <f aca="false">IFERROR(SUMIF('🛒 Ventas del Día'!C$4:C$107,A10,'🛒 Ventas del Día'!H$4:H$107),0)</f>
        <v>2023</v>
      </c>
      <c r="E10" s="13" t="n">
        <f aca="false">C10-D10</f>
        <v>1477</v>
      </c>
      <c r="F10" s="63" t="n">
        <f aca="false">IF(C10&gt;0,(C10-D10)/C10,0)</f>
        <v>0.422</v>
      </c>
      <c r="G10" s="64" t="n">
        <f aca="false">IF(C$13&gt;0,C10/C$13,0)</f>
        <v>0.00966059567232916</v>
      </c>
      <c r="H10" s="41" t="n">
        <v>0</v>
      </c>
      <c r="I10" s="26"/>
      <c r="J10" s="26"/>
      <c r="K10" s="26"/>
    </row>
    <row r="11" customFormat="false" ht="19.5" hidden="false" customHeight="true" outlineLevel="0" collapsed="false">
      <c r="A11" s="57" t="s">
        <v>95</v>
      </c>
      <c r="B11" s="58" t="n">
        <f aca="false">SUMIF('🛒 Ventas del Día'!C$4:C$107,A11,'🛒 Ventas del Día'!F$4:F$107)</f>
        <v>2</v>
      </c>
      <c r="C11" s="47" t="n">
        <f aca="false">SUMIF('🛒 Ventas del Día'!C$4:C$107,A11,'🛒 Ventas del Día'!G$4:G$107)</f>
        <v>11000</v>
      </c>
      <c r="D11" s="47" t="n">
        <f aca="false">IFERROR(SUMIF('🛒 Ventas del Día'!C$4:C$107,A11,'🛒 Ventas del Día'!H$4:H$107),0)</f>
        <v>7722.8</v>
      </c>
      <c r="E11" s="20" t="n">
        <f aca="false">C11-D11</f>
        <v>3277.2</v>
      </c>
      <c r="F11" s="59" t="n">
        <f aca="false">IF(C11&gt;0,(C11-D11)/C11,0)</f>
        <v>0.297927272727273</v>
      </c>
      <c r="G11" s="60" t="n">
        <f aca="false">IF(C$13&gt;0,C11/C$13,0)</f>
        <v>0.0303618721130345</v>
      </c>
      <c r="H11" s="47" t="n">
        <v>0</v>
      </c>
      <c r="I11" s="26"/>
      <c r="J11" s="26"/>
      <c r="K11" s="26"/>
    </row>
    <row r="12" customFormat="false" ht="19.5" hidden="false" customHeight="true" outlineLevel="0" collapsed="false">
      <c r="A12" s="61" t="s">
        <v>104</v>
      </c>
      <c r="B12" s="62" t="n">
        <f aca="false">SUMIF('🛒 Ventas del Día'!C$4:C$107,A12,'🛒 Ventas del Día'!F$4:F$107)</f>
        <v>6</v>
      </c>
      <c r="C12" s="41" t="n">
        <f aca="false">SUMIF('🛒 Ventas del Día'!C$4:C$107,A12,'🛒 Ventas del Día'!G$4:G$107)</f>
        <v>37500</v>
      </c>
      <c r="D12" s="41" t="n">
        <f aca="false">IFERROR(SUMIF('🛒 Ventas del Día'!C$4:C$107,A12,'🛒 Ventas del Día'!H$4:H$107),0)</f>
        <v>18918</v>
      </c>
      <c r="E12" s="13" t="n">
        <f aca="false">C12-D12</f>
        <v>18582</v>
      </c>
      <c r="F12" s="63" t="n">
        <f aca="false">IF(C12&gt;0,(C12-D12)/C12,0)</f>
        <v>0.49552</v>
      </c>
      <c r="G12" s="64" t="n">
        <f aca="false">IF(C$13&gt;0,C12/C$13,0)</f>
        <v>0.103506382203527</v>
      </c>
      <c r="H12" s="41" t="n">
        <v>0</v>
      </c>
      <c r="I12" s="26"/>
      <c r="J12" s="26"/>
      <c r="K12" s="26"/>
    </row>
    <row r="13" customFormat="false" ht="21.75" hidden="false" customHeight="true" outlineLevel="0" collapsed="false">
      <c r="A13" s="65" t="s">
        <v>140</v>
      </c>
      <c r="B13" s="66" t="n">
        <f aca="false">SUM(B5:B12)</f>
        <v>45.045</v>
      </c>
      <c r="C13" s="67" t="n">
        <f aca="false">SUM(C5:C12)</f>
        <v>362296.5</v>
      </c>
      <c r="D13" s="67" t="n">
        <f aca="false">SUM(D5:D12)</f>
        <v>259025.22</v>
      </c>
      <c r="E13" s="67" t="n">
        <f aca="false">C13-D13</f>
        <v>103271.28</v>
      </c>
      <c r="F13" s="68" t="n">
        <f aca="false">IF(C13&gt;0,(C13-D13)/C13,0)</f>
        <v>0.285046308755398</v>
      </c>
      <c r="G13" s="65"/>
      <c r="H13" s="67" t="n">
        <f aca="false">SUM(H5:H12)</f>
        <v>0</v>
      </c>
      <c r="I13" s="26"/>
      <c r="J13" s="26"/>
      <c r="K13" s="26"/>
    </row>
    <row r="14" customFormat="false" ht="7.5" hidden="false" customHeight="true" outlineLevel="0" collapsed="false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customFormat="false" ht="25.5" hidden="false" customHeight="true" outlineLevel="0" collapsed="false">
      <c r="A15" s="56" t="s">
        <v>141</v>
      </c>
      <c r="B15" s="56"/>
      <c r="C15" s="56"/>
      <c r="D15" s="56"/>
      <c r="E15" s="56"/>
      <c r="F15" s="56"/>
      <c r="G15" s="56"/>
      <c r="H15" s="56"/>
      <c r="I15" s="56"/>
      <c r="J15" s="56"/>
      <c r="K15" s="26"/>
    </row>
    <row r="16" customFormat="false" ht="21.75" hidden="false" customHeight="true" outlineLevel="0" collapsed="false">
      <c r="A16" s="32" t="s">
        <v>119</v>
      </c>
      <c r="B16" s="32" t="s">
        <v>142</v>
      </c>
      <c r="C16" s="32" t="s">
        <v>136</v>
      </c>
      <c r="D16" s="32" t="s">
        <v>137</v>
      </c>
      <c r="E16" s="32" t="s">
        <v>124</v>
      </c>
      <c r="F16" s="32" t="s">
        <v>9</v>
      </c>
      <c r="G16" s="34" t="s">
        <v>143</v>
      </c>
      <c r="H16" s="37" t="s">
        <v>144</v>
      </c>
      <c r="I16" s="30" t="s">
        <v>145</v>
      </c>
      <c r="J16" s="30" t="s">
        <v>146</v>
      </c>
      <c r="K16" s="26"/>
    </row>
    <row r="17" customFormat="false" ht="18.75" hidden="false" customHeight="true" outlineLevel="0" collapsed="false">
      <c r="A17" s="45" t="n">
        <v>46174</v>
      </c>
      <c r="B17" s="69" t="n">
        <f aca="false">COUNTIF('🛒 Ventas del Día'!B$4:B$107,A17)</f>
        <v>0</v>
      </c>
      <c r="C17" s="70" t="n">
        <f aca="false">SUMIF('🛒 Ventas del Día'!B$4:B$107,A17,'🛒 Ventas del Día'!G$4:G$107)</f>
        <v>0</v>
      </c>
      <c r="D17" s="70" t="n">
        <f aca="false">IFERROR(SUMIF('🛒 Ventas del Día'!B$4:B$107,A17,'🛒 Ventas del Día'!H$4:H$107),0)</f>
        <v>0</v>
      </c>
      <c r="E17" s="20" t="n">
        <f aca="false">C17-D17</f>
        <v>0</v>
      </c>
      <c r="F17" s="59" t="n">
        <f aca="false">IF(C17&gt;0,(C17-D17)/C17,0)</f>
        <v>0</v>
      </c>
      <c r="G17" s="71" t="n">
        <f aca="false">SUMIFS('🛒 Ventas del Día'!G$4:G$107,'🛒 Ventas del Día'!B$4:B$107,A17,'🛒 Ventas del Día'!J$4:J$107,"Efectivo")</f>
        <v>0</v>
      </c>
      <c r="H17" s="72" t="n">
        <f aca="false">SUMIFS('🛒 Ventas del Día'!G$4:G$107,'🛒 Ventas del Día'!B$4:B$107,A17,'🛒 Ventas del Día'!J$4:J$107,"Tarjeta")</f>
        <v>0</v>
      </c>
      <c r="I17" s="73" t="n">
        <f aca="false">IFERROR(SUMPRODUCT(('🛒 Ventas del Día'!$B$4:$B$107=A17)*('🛒 Ventas del Día'!$A$4:$A$107&lt;&gt;"")/COUNTIF('🛒 Ventas del Día'!$A$4:$A$107,'🛒 Ventas del Día'!$A$4:$A$107&amp;"")),0)</f>
        <v>0</v>
      </c>
      <c r="J17" s="74" t="n">
        <f aca="false">IFERROR(C17/I17,0)</f>
        <v>0</v>
      </c>
      <c r="K17" s="26"/>
    </row>
    <row r="18" customFormat="false" ht="18.75" hidden="false" customHeight="true" outlineLevel="0" collapsed="false">
      <c r="A18" s="39" t="n">
        <v>46175</v>
      </c>
      <c r="B18" s="75" t="n">
        <f aca="false">COUNTIF('🛒 Ventas del Día'!B$4:B$107,A18)</f>
        <v>0</v>
      </c>
      <c r="C18" s="76" t="n">
        <f aca="false">SUMIF('🛒 Ventas del Día'!B$4:B$107,A18,'🛒 Ventas del Día'!G$4:G$107)</f>
        <v>0</v>
      </c>
      <c r="D18" s="76" t="n">
        <f aca="false">IFERROR(SUMIF('🛒 Ventas del Día'!B$4:B$107,A18,'🛒 Ventas del Día'!H$4:H$107),0)</f>
        <v>0</v>
      </c>
      <c r="E18" s="13" t="n">
        <f aca="false">C18-D18</f>
        <v>0</v>
      </c>
      <c r="F18" s="63" t="n">
        <f aca="false">IF(C18&gt;0,(C18-D18)/C18,0)</f>
        <v>0</v>
      </c>
      <c r="G18" s="77" t="n">
        <f aca="false">SUMIFS('🛒 Ventas del Día'!G$4:G$107,'🛒 Ventas del Día'!B$4:B$107,A18,'🛒 Ventas del Día'!J$4:J$107,"Efectivo")</f>
        <v>0</v>
      </c>
      <c r="H18" s="78" t="n">
        <f aca="false">SUMIFS('🛒 Ventas del Día'!G$4:G$107,'🛒 Ventas del Día'!B$4:B$107,A18,'🛒 Ventas del Día'!J$4:J$107,"Tarjeta")</f>
        <v>0</v>
      </c>
      <c r="I18" s="79" t="n">
        <f aca="false">IFERROR(SUMPRODUCT(('🛒 Ventas del Día'!$B$4:$B$107=A18)*('🛒 Ventas del Día'!$A$4:$A$107&lt;&gt;"")/COUNTIF('🛒 Ventas del Día'!$A$4:$A$107,'🛒 Ventas del Día'!$A$4:$A$107&amp;"")),0)</f>
        <v>0</v>
      </c>
      <c r="J18" s="80" t="n">
        <f aca="false">IFERROR(C18/I18,0)</f>
        <v>0</v>
      </c>
      <c r="K18" s="26"/>
    </row>
    <row r="19" customFormat="false" ht="18.75" hidden="false" customHeight="true" outlineLevel="0" collapsed="false">
      <c r="A19" s="45" t="n">
        <v>46176</v>
      </c>
      <c r="B19" s="69" t="n">
        <f aca="false">COUNTIF('🛒 Ventas del Día'!B$4:B$107,A19)</f>
        <v>9</v>
      </c>
      <c r="C19" s="70" t="n">
        <f aca="false">SUMIF('🛒 Ventas del Día'!B$4:B$107,A19,'🛒 Ventas del Día'!G$4:G$107)</f>
        <v>69050</v>
      </c>
      <c r="D19" s="70" t="n">
        <f aca="false">IFERROR(SUMIF('🛒 Ventas del Día'!B$4:B$107,A19,'🛒 Ventas del Día'!H$4:H$107),0)</f>
        <v>51538</v>
      </c>
      <c r="E19" s="20" t="n">
        <f aca="false">C19-D19</f>
        <v>17512</v>
      </c>
      <c r="F19" s="59" t="n">
        <f aca="false">IF(C19&gt;0,(C19-D19)/C19,0)</f>
        <v>0.253613323678494</v>
      </c>
      <c r="G19" s="71" t="n">
        <f aca="false">SUMIFS('🛒 Ventas del Día'!G$4:G$107,'🛒 Ventas del Día'!B$4:B$107,A19,'🛒 Ventas del Día'!J$4:J$107,"Efectivo")</f>
        <v>0</v>
      </c>
      <c r="H19" s="72" t="n">
        <f aca="false">SUMIFS('🛒 Ventas del Día'!G$4:G$107,'🛒 Ventas del Día'!B$4:B$107,A19,'🛒 Ventas del Día'!J$4:J$107,"Tarjeta")</f>
        <v>0</v>
      </c>
      <c r="I19" s="73" t="n">
        <f aca="false">IFERROR(SUMPRODUCT(('🛒 Ventas del Día'!$B$4:$B$107=A19)*('🛒 Ventas del Día'!$A$4:$A$107&lt;&gt;"")/COUNTIF('🛒 Ventas del Día'!$A$4:$A$107,'🛒 Ventas del Día'!$A$4:$A$107&amp;"")),0)</f>
        <v>0</v>
      </c>
      <c r="J19" s="74" t="n">
        <f aca="false">IFERROR(C19/I19,0)</f>
        <v>0</v>
      </c>
      <c r="K19" s="26"/>
    </row>
    <row r="20" customFormat="false" ht="18.75" hidden="false" customHeight="true" outlineLevel="0" collapsed="false">
      <c r="A20" s="39" t="n">
        <v>46177</v>
      </c>
      <c r="B20" s="75" t="n">
        <f aca="false">COUNTIF('🛒 Ventas del Día'!B$4:B$107,A20)</f>
        <v>14</v>
      </c>
      <c r="C20" s="76" t="n">
        <f aca="false">SUMIF('🛒 Ventas del Día'!B$4:B$107,A20,'🛒 Ventas del Día'!G$4:G$107)</f>
        <v>123117.5</v>
      </c>
      <c r="D20" s="76" t="n">
        <f aca="false">IFERROR(SUMIF('🛒 Ventas del Día'!B$4:B$107,A20,'🛒 Ventas del Día'!H$4:H$107),0)</f>
        <v>82169</v>
      </c>
      <c r="E20" s="13" t="n">
        <f aca="false">C20-D20</f>
        <v>40948.5</v>
      </c>
      <c r="F20" s="63" t="n">
        <f aca="false">IF(C20&gt;0,(C20-D20)/C20,0)</f>
        <v>0.332596909456414</v>
      </c>
      <c r="G20" s="77" t="n">
        <f aca="false">SUMIFS('🛒 Ventas del Día'!G$4:G$107,'🛒 Ventas del Día'!B$4:B$107,A20,'🛒 Ventas del Día'!J$4:J$107,"Efectivo")</f>
        <v>0</v>
      </c>
      <c r="H20" s="78" t="n">
        <f aca="false">SUMIFS('🛒 Ventas del Día'!G$4:G$107,'🛒 Ventas del Día'!B$4:B$107,A20,'🛒 Ventas del Día'!J$4:J$107,"Tarjeta")</f>
        <v>121617.5</v>
      </c>
      <c r="I20" s="79" t="n">
        <f aca="false">IFERROR(SUMPRODUCT(('🛒 Ventas del Día'!$B$4:$B$107=A20)*('🛒 Ventas del Día'!$A$4:$A$107&lt;&gt;"")/COUNTIF('🛒 Ventas del Día'!$A$4:$A$107,'🛒 Ventas del Día'!$A$4:$A$107&amp;"")),0)</f>
        <v>0</v>
      </c>
      <c r="J20" s="80" t="n">
        <f aca="false">IFERROR(C20/I20,0)</f>
        <v>0</v>
      </c>
      <c r="K20" s="26"/>
    </row>
    <row r="21" customFormat="false" ht="18.75" hidden="false" customHeight="true" outlineLevel="0" collapsed="false">
      <c r="A21" s="45" t="n">
        <v>46178</v>
      </c>
      <c r="B21" s="69" t="n">
        <f aca="false">COUNTIF('🛒 Ventas del Día'!B$4:B$107,A21)</f>
        <v>24</v>
      </c>
      <c r="C21" s="70" t="n">
        <f aca="false">SUMIF('🛒 Ventas del Día'!B$4:B$107,A21,'🛒 Ventas del Día'!G$4:G$107)</f>
        <v>174629</v>
      </c>
      <c r="D21" s="70" t="n">
        <f aca="false">IFERROR(SUMIF('🛒 Ventas del Día'!B$4:B$107,A21,'🛒 Ventas del Día'!H$4:H$107),0)</f>
        <v>125318.22</v>
      </c>
      <c r="E21" s="20" t="n">
        <f aca="false">C21-D21</f>
        <v>49310.78</v>
      </c>
      <c r="F21" s="59" t="n">
        <f aca="false">IF(C21&gt;0,(C21-D21)/C21,0)</f>
        <v>0.282374519696041</v>
      </c>
      <c r="G21" s="71" t="n">
        <f aca="false">SUMIFS('🛒 Ventas del Día'!G$4:G$107,'🛒 Ventas del Día'!B$4:B$107,A21,'🛒 Ventas del Día'!J$4:J$107,"Efectivo")</f>
        <v>25915</v>
      </c>
      <c r="H21" s="72" t="n">
        <f aca="false">SUMIFS('🛒 Ventas del Día'!G$4:G$107,'🛒 Ventas del Día'!B$4:B$107,A21,'🛒 Ventas del Día'!J$4:J$107,"Tarjeta")</f>
        <v>99714</v>
      </c>
      <c r="I21" s="73" t="n">
        <f aca="false">IFERROR(SUMPRODUCT(('🛒 Ventas del Día'!$B$4:$B$107=A21)*('🛒 Ventas del Día'!$A$4:$A$107&lt;&gt;"")/COUNTIF('🛒 Ventas del Día'!$A$4:$A$107,'🛒 Ventas del Día'!$A$4:$A$107&amp;"")),0)</f>
        <v>17</v>
      </c>
      <c r="J21" s="74" t="n">
        <f aca="false">IFERROR(C21/I21,0)</f>
        <v>10272.2941176471</v>
      </c>
      <c r="K21" s="26"/>
    </row>
    <row r="22" customFormat="false" ht="18.75" hidden="false" customHeight="true" outlineLevel="0" collapsed="false">
      <c r="A22" s="39" t="n">
        <v>46179</v>
      </c>
      <c r="B22" s="75" t="n">
        <f aca="false">COUNTIF('🛒 Ventas del Día'!B$4:B$107,A22)</f>
        <v>0</v>
      </c>
      <c r="C22" s="76" t="n">
        <f aca="false">SUMIF('🛒 Ventas del Día'!B$4:B$107,A22,'🛒 Ventas del Día'!G$4:G$107)</f>
        <v>0</v>
      </c>
      <c r="D22" s="76" t="n">
        <f aca="false">IFERROR(SUMIF('🛒 Ventas del Día'!B$4:B$107,A22,'🛒 Ventas del Día'!H$4:H$107),0)</f>
        <v>0</v>
      </c>
      <c r="E22" s="13" t="n">
        <f aca="false">C22-D22</f>
        <v>0</v>
      </c>
      <c r="F22" s="63" t="n">
        <f aca="false">IF(C22&gt;0,(C22-D22)/C22,0)</f>
        <v>0</v>
      </c>
      <c r="G22" s="77" t="n">
        <f aca="false">SUMIFS('🛒 Ventas del Día'!G$4:G$107,'🛒 Ventas del Día'!B$4:B$107,A22,'🛒 Ventas del Día'!J$4:J$107,"Efectivo")</f>
        <v>0</v>
      </c>
      <c r="H22" s="78" t="n">
        <f aca="false">SUMIFS('🛒 Ventas del Día'!G$4:G$107,'🛒 Ventas del Día'!B$4:B$107,A22,'🛒 Ventas del Día'!J$4:J$107,"Tarjeta")</f>
        <v>0</v>
      </c>
      <c r="I22" s="79" t="n">
        <f aca="false">IFERROR(SUMPRODUCT(('🛒 Ventas del Día'!$B$4:$B$107=A22)*('🛒 Ventas del Día'!$A$4:$A$107&lt;&gt;"")/COUNTIF('🛒 Ventas del Día'!$A$4:$A$107,'🛒 Ventas del Día'!$A$4:$A$107&amp;"")),0)</f>
        <v>0</v>
      </c>
      <c r="J22" s="80" t="n">
        <f aca="false">IFERROR(C22/I22,0)</f>
        <v>0</v>
      </c>
      <c r="K22" s="26"/>
    </row>
    <row r="23" customFormat="false" ht="18.75" hidden="false" customHeight="true" outlineLevel="0" collapsed="false">
      <c r="A23" s="45" t="n">
        <v>46180</v>
      </c>
      <c r="B23" s="69" t="n">
        <f aca="false">COUNTIF('🛒 Ventas del Día'!B$4:B$107,A23)</f>
        <v>0</v>
      </c>
      <c r="C23" s="70" t="n">
        <f aca="false">SUMIF('🛒 Ventas del Día'!B$4:B$107,A23,'🛒 Ventas del Día'!G$4:G$107)</f>
        <v>0</v>
      </c>
      <c r="D23" s="70" t="n">
        <f aca="false">IFERROR(SUMIF('🛒 Ventas del Día'!B$4:B$107,A23,'🛒 Ventas del Día'!H$4:H$107),0)</f>
        <v>0</v>
      </c>
      <c r="E23" s="20" t="n">
        <f aca="false">C23-D23</f>
        <v>0</v>
      </c>
      <c r="F23" s="59" t="n">
        <f aca="false">IF(C23&gt;0,(C23-D23)/C23,0)</f>
        <v>0</v>
      </c>
      <c r="G23" s="71" t="n">
        <f aca="false">SUMIFS('🛒 Ventas del Día'!G$4:G$107,'🛒 Ventas del Día'!B$4:B$107,A23,'🛒 Ventas del Día'!J$4:J$107,"Efectivo")</f>
        <v>0</v>
      </c>
      <c r="H23" s="72" t="n">
        <f aca="false">SUMIFS('🛒 Ventas del Día'!G$4:G$107,'🛒 Ventas del Día'!B$4:B$107,A23,'🛒 Ventas del Día'!J$4:J$107,"Tarjeta")</f>
        <v>0</v>
      </c>
      <c r="I23" s="73" t="n">
        <f aca="false">IFERROR(SUMPRODUCT(('🛒 Ventas del Día'!$B$4:$B$107=A23)*('🛒 Ventas del Día'!$A$4:$A$107&lt;&gt;"")/COUNTIF('🛒 Ventas del Día'!$A$4:$A$107,'🛒 Ventas del Día'!$A$4:$A$107&amp;"")),0)</f>
        <v>0</v>
      </c>
      <c r="J23" s="74" t="n">
        <f aca="false">IFERROR(C23/I23,0)</f>
        <v>0</v>
      </c>
      <c r="K23" s="26"/>
    </row>
    <row r="24" customFormat="false" ht="18.75" hidden="false" customHeight="true" outlineLevel="0" collapsed="false">
      <c r="A24" s="39" t="n">
        <v>46181</v>
      </c>
      <c r="B24" s="75" t="n">
        <f aca="false">COUNTIF('🛒 Ventas del Día'!B$4:B$107,A24)</f>
        <v>0</v>
      </c>
      <c r="C24" s="76" t="n">
        <f aca="false">SUMIF('🛒 Ventas del Día'!B$4:B$107,A24,'🛒 Ventas del Día'!G$4:G$107)</f>
        <v>0</v>
      </c>
      <c r="D24" s="76" t="n">
        <f aca="false">IFERROR(SUMIF('🛒 Ventas del Día'!B$4:B$107,A24,'🛒 Ventas del Día'!H$4:H$107),0)</f>
        <v>0</v>
      </c>
      <c r="E24" s="13" t="n">
        <f aca="false">C24-D24</f>
        <v>0</v>
      </c>
      <c r="F24" s="63" t="n">
        <f aca="false">IF(C24&gt;0,(C24-D24)/C24,0)</f>
        <v>0</v>
      </c>
      <c r="G24" s="77" t="n">
        <f aca="false">SUMIFS('🛒 Ventas del Día'!G$4:G$107,'🛒 Ventas del Día'!B$4:B$107,A24,'🛒 Ventas del Día'!J$4:J$107,"Efectivo")</f>
        <v>0</v>
      </c>
      <c r="H24" s="78" t="n">
        <f aca="false">SUMIFS('🛒 Ventas del Día'!G$4:G$107,'🛒 Ventas del Día'!B$4:B$107,A24,'🛒 Ventas del Día'!J$4:J$107,"Tarjeta")</f>
        <v>0</v>
      </c>
      <c r="I24" s="79" t="n">
        <f aca="false">IFERROR(SUMPRODUCT(('🛒 Ventas del Día'!$B$4:$B$107=A24)*('🛒 Ventas del Día'!$A$4:$A$107&lt;&gt;"")/COUNTIF('🛒 Ventas del Día'!$A$4:$A$107,'🛒 Ventas del Día'!$A$4:$A$107&amp;"")),0)</f>
        <v>0</v>
      </c>
      <c r="J24" s="80" t="n">
        <f aca="false">IFERROR(C24/I24,0)</f>
        <v>0</v>
      </c>
      <c r="K24" s="26"/>
    </row>
    <row r="25" customFormat="false" ht="18.75" hidden="false" customHeight="true" outlineLevel="0" collapsed="false">
      <c r="A25" s="45" t="n">
        <v>46182</v>
      </c>
      <c r="B25" s="69" t="n">
        <f aca="false">COUNTIF('🛒 Ventas del Día'!B$4:B$107,A25)</f>
        <v>0</v>
      </c>
      <c r="C25" s="70" t="n">
        <f aca="false">SUMIF('🛒 Ventas del Día'!B$4:B$107,A25,'🛒 Ventas del Día'!G$4:G$107)</f>
        <v>0</v>
      </c>
      <c r="D25" s="70" t="n">
        <f aca="false">IFERROR(SUMIF('🛒 Ventas del Día'!B$4:B$107,A25,'🛒 Ventas del Día'!H$4:H$107),0)</f>
        <v>0</v>
      </c>
      <c r="E25" s="20" t="n">
        <f aca="false">C25-D25</f>
        <v>0</v>
      </c>
      <c r="F25" s="59" t="n">
        <f aca="false">IF(C25&gt;0,(C25-D25)/C25,0)</f>
        <v>0</v>
      </c>
      <c r="G25" s="71" t="n">
        <f aca="false">SUMIFS('🛒 Ventas del Día'!G$4:G$107,'🛒 Ventas del Día'!B$4:B$107,A25,'🛒 Ventas del Día'!J$4:J$107,"Efectivo")</f>
        <v>0</v>
      </c>
      <c r="H25" s="72" t="n">
        <f aca="false">SUMIFS('🛒 Ventas del Día'!G$4:G$107,'🛒 Ventas del Día'!B$4:B$107,A25,'🛒 Ventas del Día'!J$4:J$107,"Tarjeta")</f>
        <v>0</v>
      </c>
      <c r="I25" s="73" t="n">
        <f aca="false">IFERROR(SUMPRODUCT(('🛒 Ventas del Día'!$B$4:$B$107=A25)*('🛒 Ventas del Día'!$A$4:$A$107&lt;&gt;"")/COUNTIF('🛒 Ventas del Día'!$A$4:$A$107,'🛒 Ventas del Día'!$A$4:$A$107&amp;"")),0)</f>
        <v>0</v>
      </c>
      <c r="J25" s="74" t="n">
        <f aca="false">IFERROR(C25/I25,0)</f>
        <v>0</v>
      </c>
      <c r="K25" s="26"/>
    </row>
    <row r="26" customFormat="false" ht="18.75" hidden="false" customHeight="true" outlineLevel="0" collapsed="false">
      <c r="A26" s="39" t="n">
        <v>46183</v>
      </c>
      <c r="B26" s="75" t="n">
        <f aca="false">COUNTIF('🛒 Ventas del Día'!B$4:B$107,A26)</f>
        <v>0</v>
      </c>
      <c r="C26" s="76" t="n">
        <f aca="false">SUMIF('🛒 Ventas del Día'!B$4:B$107,A26,'🛒 Ventas del Día'!G$4:G$107)</f>
        <v>0</v>
      </c>
      <c r="D26" s="76" t="n">
        <f aca="false">IFERROR(SUMIF('🛒 Ventas del Día'!B$4:B$107,A26,'🛒 Ventas del Día'!H$4:H$107),0)</f>
        <v>0</v>
      </c>
      <c r="E26" s="13" t="n">
        <f aca="false">C26-D26</f>
        <v>0</v>
      </c>
      <c r="F26" s="63" t="n">
        <f aca="false">IF(C26&gt;0,(C26-D26)/C26,0)</f>
        <v>0</v>
      </c>
      <c r="G26" s="77" t="n">
        <f aca="false">SUMIFS('🛒 Ventas del Día'!G$4:G$107,'🛒 Ventas del Día'!B$4:B$107,A26,'🛒 Ventas del Día'!J$4:J$107,"Efectivo")</f>
        <v>0</v>
      </c>
      <c r="H26" s="78" t="n">
        <f aca="false">SUMIFS('🛒 Ventas del Día'!G$4:G$107,'🛒 Ventas del Día'!B$4:B$107,A26,'🛒 Ventas del Día'!J$4:J$107,"Tarjeta")</f>
        <v>0</v>
      </c>
      <c r="I26" s="79" t="n">
        <f aca="false">IFERROR(SUMPRODUCT(('🛒 Ventas del Día'!$B$4:$B$107=A26)*('🛒 Ventas del Día'!$A$4:$A$107&lt;&gt;"")/COUNTIF('🛒 Ventas del Día'!$A$4:$A$107,'🛒 Ventas del Día'!$A$4:$A$107&amp;"")),0)</f>
        <v>0</v>
      </c>
      <c r="J26" s="80" t="n">
        <f aca="false">IFERROR(C26/I26,0)</f>
        <v>0</v>
      </c>
      <c r="K26" s="26"/>
    </row>
    <row r="27" customFormat="false" ht="18.75" hidden="false" customHeight="true" outlineLevel="0" collapsed="false">
      <c r="A27" s="45" t="n">
        <v>46184</v>
      </c>
      <c r="B27" s="69" t="n">
        <f aca="false">COUNTIF('🛒 Ventas del Día'!B$4:B$107,A27)</f>
        <v>0</v>
      </c>
      <c r="C27" s="70" t="n">
        <f aca="false">SUMIF('🛒 Ventas del Día'!B$4:B$107,A27,'🛒 Ventas del Día'!G$4:G$107)</f>
        <v>0</v>
      </c>
      <c r="D27" s="70" t="n">
        <f aca="false">IFERROR(SUMIF('🛒 Ventas del Día'!B$4:B$107,A27,'🛒 Ventas del Día'!H$4:H$107),0)</f>
        <v>0</v>
      </c>
      <c r="E27" s="20" t="n">
        <f aca="false">C27-D27</f>
        <v>0</v>
      </c>
      <c r="F27" s="59" t="n">
        <f aca="false">IF(C27&gt;0,(C27-D27)/C27,0)</f>
        <v>0</v>
      </c>
      <c r="G27" s="71" t="n">
        <f aca="false">SUMIFS('🛒 Ventas del Día'!G$4:G$107,'🛒 Ventas del Día'!B$4:B$107,A27,'🛒 Ventas del Día'!J$4:J$107,"Efectivo")</f>
        <v>0</v>
      </c>
      <c r="H27" s="72" t="n">
        <f aca="false">SUMIFS('🛒 Ventas del Día'!G$4:G$107,'🛒 Ventas del Día'!B$4:B$107,A27,'🛒 Ventas del Día'!J$4:J$107,"Tarjeta")</f>
        <v>0</v>
      </c>
      <c r="I27" s="73" t="n">
        <f aca="false">IFERROR(SUMPRODUCT(('🛒 Ventas del Día'!$B$4:$B$107=A27)*('🛒 Ventas del Día'!$A$4:$A$107&lt;&gt;"")/COUNTIF('🛒 Ventas del Día'!$A$4:$A$107,'🛒 Ventas del Día'!$A$4:$A$107&amp;"")),0)</f>
        <v>0</v>
      </c>
      <c r="J27" s="74" t="n">
        <f aca="false">IFERROR(C27/I27,0)</f>
        <v>0</v>
      </c>
      <c r="K27" s="26"/>
    </row>
    <row r="28" customFormat="false" ht="18.75" hidden="false" customHeight="true" outlineLevel="0" collapsed="false">
      <c r="A28" s="39" t="n">
        <v>46185</v>
      </c>
      <c r="B28" s="75" t="n">
        <f aca="false">COUNTIF('🛒 Ventas del Día'!B$4:B$107,A28)</f>
        <v>0</v>
      </c>
      <c r="C28" s="76" t="n">
        <f aca="false">SUMIF('🛒 Ventas del Día'!B$4:B$107,A28,'🛒 Ventas del Día'!G$4:G$107)</f>
        <v>0</v>
      </c>
      <c r="D28" s="76" t="n">
        <f aca="false">IFERROR(SUMIF('🛒 Ventas del Día'!B$4:B$107,A28,'🛒 Ventas del Día'!H$4:H$107),0)</f>
        <v>0</v>
      </c>
      <c r="E28" s="13" t="n">
        <f aca="false">C28-D28</f>
        <v>0</v>
      </c>
      <c r="F28" s="63" t="n">
        <f aca="false">IF(C28&gt;0,(C28-D28)/C28,0)</f>
        <v>0</v>
      </c>
      <c r="G28" s="77" t="n">
        <f aca="false">SUMIFS('🛒 Ventas del Día'!G$4:G$107,'🛒 Ventas del Día'!B$4:B$107,A28,'🛒 Ventas del Día'!J$4:J$107,"Efectivo")</f>
        <v>0</v>
      </c>
      <c r="H28" s="78" t="n">
        <f aca="false">SUMIFS('🛒 Ventas del Día'!G$4:G$107,'🛒 Ventas del Día'!B$4:B$107,A28,'🛒 Ventas del Día'!J$4:J$107,"Tarjeta")</f>
        <v>0</v>
      </c>
      <c r="I28" s="79" t="n">
        <f aca="false">IFERROR(SUMPRODUCT(('🛒 Ventas del Día'!$B$4:$B$107=A28)*('🛒 Ventas del Día'!$A$4:$A$107&lt;&gt;"")/COUNTIF('🛒 Ventas del Día'!$A$4:$A$107,'🛒 Ventas del Día'!$A$4:$A$107&amp;"")),0)</f>
        <v>0</v>
      </c>
      <c r="J28" s="80" t="n">
        <f aca="false">IFERROR(C28/I28,0)</f>
        <v>0</v>
      </c>
      <c r="K28" s="26"/>
    </row>
    <row r="29" customFormat="false" ht="18.75" hidden="false" customHeight="true" outlineLevel="0" collapsed="false">
      <c r="A29" s="45" t="n">
        <v>46186</v>
      </c>
      <c r="B29" s="69" t="n">
        <f aca="false">COUNTIF('🛒 Ventas del Día'!B$4:B$107,A29)</f>
        <v>0</v>
      </c>
      <c r="C29" s="70" t="n">
        <f aca="false">SUMIF('🛒 Ventas del Día'!B$4:B$107,A29,'🛒 Ventas del Día'!G$4:G$107)</f>
        <v>0</v>
      </c>
      <c r="D29" s="70" t="n">
        <f aca="false">IFERROR(SUMIF('🛒 Ventas del Día'!B$4:B$107,A29,'🛒 Ventas del Día'!H$4:H$107),0)</f>
        <v>0</v>
      </c>
      <c r="E29" s="20" t="n">
        <f aca="false">C29-D29</f>
        <v>0</v>
      </c>
      <c r="F29" s="59" t="n">
        <f aca="false">IF(C29&gt;0,(C29-D29)/C29,0)</f>
        <v>0</v>
      </c>
      <c r="G29" s="71" t="n">
        <f aca="false">SUMIFS('🛒 Ventas del Día'!G$4:G$107,'🛒 Ventas del Día'!B$4:B$107,A29,'🛒 Ventas del Día'!J$4:J$107,"Efectivo")</f>
        <v>0</v>
      </c>
      <c r="H29" s="72" t="n">
        <f aca="false">SUMIFS('🛒 Ventas del Día'!G$4:G$107,'🛒 Ventas del Día'!B$4:B$107,A29,'🛒 Ventas del Día'!J$4:J$107,"Tarjeta")</f>
        <v>0</v>
      </c>
      <c r="I29" s="73" t="n">
        <f aca="false">IFERROR(SUMPRODUCT(('🛒 Ventas del Día'!$B$4:$B$107=A29)*('🛒 Ventas del Día'!$A$4:$A$107&lt;&gt;"")/COUNTIF('🛒 Ventas del Día'!$A$4:$A$107,'🛒 Ventas del Día'!$A$4:$A$107&amp;"")),0)</f>
        <v>0</v>
      </c>
      <c r="J29" s="74" t="n">
        <f aca="false">IFERROR(C29/I29,0)</f>
        <v>0</v>
      </c>
      <c r="K29" s="26"/>
    </row>
    <row r="30" customFormat="false" ht="18.75" hidden="false" customHeight="true" outlineLevel="0" collapsed="false">
      <c r="A30" s="39" t="n">
        <v>46187</v>
      </c>
      <c r="B30" s="75" t="n">
        <f aca="false">COUNTIF('🛒 Ventas del Día'!B$4:B$107,A30)</f>
        <v>0</v>
      </c>
      <c r="C30" s="76" t="n">
        <f aca="false">SUMIF('🛒 Ventas del Día'!B$4:B$107,A30,'🛒 Ventas del Día'!G$4:G$107)</f>
        <v>0</v>
      </c>
      <c r="D30" s="76" t="n">
        <f aca="false">IFERROR(SUMIF('🛒 Ventas del Día'!B$4:B$107,A30,'🛒 Ventas del Día'!H$4:H$107),0)</f>
        <v>0</v>
      </c>
      <c r="E30" s="13" t="n">
        <f aca="false">C30-D30</f>
        <v>0</v>
      </c>
      <c r="F30" s="63" t="n">
        <f aca="false">IF(C30&gt;0,(C30-D30)/C30,0)</f>
        <v>0</v>
      </c>
      <c r="G30" s="77" t="n">
        <f aca="false">SUMIFS('🛒 Ventas del Día'!G$4:G$107,'🛒 Ventas del Día'!B$4:B$107,A30,'🛒 Ventas del Día'!J$4:J$107,"Efectivo")</f>
        <v>0</v>
      </c>
      <c r="H30" s="78" t="n">
        <f aca="false">SUMIFS('🛒 Ventas del Día'!G$4:G$107,'🛒 Ventas del Día'!B$4:B$107,A30,'🛒 Ventas del Día'!J$4:J$107,"Tarjeta")</f>
        <v>0</v>
      </c>
      <c r="I30" s="79" t="n">
        <f aca="false">IFERROR(SUMPRODUCT(('🛒 Ventas del Día'!$B$4:$B$107=A30)*('🛒 Ventas del Día'!$A$4:$A$107&lt;&gt;"")/COUNTIF('🛒 Ventas del Día'!$A$4:$A$107,'🛒 Ventas del Día'!$A$4:$A$107&amp;"")),0)</f>
        <v>0</v>
      </c>
      <c r="J30" s="80" t="n">
        <f aca="false">IFERROR(C30/I30,0)</f>
        <v>0</v>
      </c>
      <c r="K30" s="26"/>
    </row>
    <row r="31" customFormat="false" ht="18.75" hidden="false" customHeight="true" outlineLevel="0" collapsed="false">
      <c r="A31" s="45" t="n">
        <v>46188</v>
      </c>
      <c r="B31" s="69" t="n">
        <f aca="false">COUNTIF('🛒 Ventas del Día'!B$4:B$107,A31)</f>
        <v>0</v>
      </c>
      <c r="C31" s="70" t="n">
        <f aca="false">SUMIF('🛒 Ventas del Día'!B$4:B$107,A31,'🛒 Ventas del Día'!G$4:G$107)</f>
        <v>0</v>
      </c>
      <c r="D31" s="70" t="n">
        <f aca="false">IFERROR(SUMIF('🛒 Ventas del Día'!B$4:B$107,A31,'🛒 Ventas del Día'!H$4:H$107),0)</f>
        <v>0</v>
      </c>
      <c r="E31" s="20" t="n">
        <f aca="false">C31-D31</f>
        <v>0</v>
      </c>
      <c r="F31" s="59" t="n">
        <f aca="false">IF(C31&gt;0,(C31-D31)/C31,0)</f>
        <v>0</v>
      </c>
      <c r="G31" s="71" t="n">
        <f aca="false">SUMIFS('🛒 Ventas del Día'!G$4:G$107,'🛒 Ventas del Día'!B$4:B$107,A31,'🛒 Ventas del Día'!J$4:J$107,"Efectivo")</f>
        <v>0</v>
      </c>
      <c r="H31" s="72" t="n">
        <f aca="false">SUMIFS('🛒 Ventas del Día'!G$4:G$107,'🛒 Ventas del Día'!B$4:B$107,A31,'🛒 Ventas del Día'!J$4:J$107,"Tarjeta")</f>
        <v>0</v>
      </c>
      <c r="I31" s="73" t="n">
        <f aca="false">IFERROR(SUMPRODUCT(('🛒 Ventas del Día'!$B$4:$B$107=A31)*('🛒 Ventas del Día'!$A$4:$A$107&lt;&gt;"")/COUNTIF('🛒 Ventas del Día'!$A$4:$A$107,'🛒 Ventas del Día'!$A$4:$A$107&amp;"")),0)</f>
        <v>0</v>
      </c>
      <c r="J31" s="74" t="n">
        <f aca="false">IFERROR(C31/I31,0)</f>
        <v>0</v>
      </c>
      <c r="K31" s="26"/>
    </row>
    <row r="32" customFormat="false" ht="18.75" hidden="false" customHeight="true" outlineLevel="0" collapsed="false">
      <c r="A32" s="39" t="n">
        <v>46189</v>
      </c>
      <c r="B32" s="75" t="n">
        <f aca="false">COUNTIF('🛒 Ventas del Día'!B$4:B$107,A32)</f>
        <v>0</v>
      </c>
      <c r="C32" s="76" t="n">
        <f aca="false">SUMIF('🛒 Ventas del Día'!B$4:B$107,A32,'🛒 Ventas del Día'!G$4:G$107)</f>
        <v>0</v>
      </c>
      <c r="D32" s="76" t="n">
        <f aca="false">IFERROR(SUMIF('🛒 Ventas del Día'!B$4:B$107,A32,'🛒 Ventas del Día'!H$4:H$107),0)</f>
        <v>0</v>
      </c>
      <c r="E32" s="13" t="n">
        <f aca="false">C32-D32</f>
        <v>0</v>
      </c>
      <c r="F32" s="63" t="n">
        <f aca="false">IF(C32&gt;0,(C32-D32)/C32,0)</f>
        <v>0</v>
      </c>
      <c r="G32" s="77" t="n">
        <f aca="false">SUMIFS('🛒 Ventas del Día'!G$4:G$107,'🛒 Ventas del Día'!B$4:B$107,A32,'🛒 Ventas del Día'!J$4:J$107,"Efectivo")</f>
        <v>0</v>
      </c>
      <c r="H32" s="78" t="n">
        <f aca="false">SUMIFS('🛒 Ventas del Día'!G$4:G$107,'🛒 Ventas del Día'!B$4:B$107,A32,'🛒 Ventas del Día'!J$4:J$107,"Tarjeta")</f>
        <v>0</v>
      </c>
      <c r="I32" s="79" t="n">
        <f aca="false">IFERROR(SUMPRODUCT(('🛒 Ventas del Día'!$B$4:$B$107=A32)*('🛒 Ventas del Día'!$A$4:$A$107&lt;&gt;"")/COUNTIF('🛒 Ventas del Día'!$A$4:$A$107,'🛒 Ventas del Día'!$A$4:$A$107&amp;"")),0)</f>
        <v>0</v>
      </c>
      <c r="J32" s="80" t="n">
        <f aca="false">IFERROR(C32/I32,0)</f>
        <v>0</v>
      </c>
      <c r="K32" s="26"/>
    </row>
    <row r="33" customFormat="false" ht="18.75" hidden="false" customHeight="true" outlineLevel="0" collapsed="false">
      <c r="A33" s="45" t="n">
        <v>46190</v>
      </c>
      <c r="B33" s="69" t="n">
        <f aca="false">COUNTIF('🛒 Ventas del Día'!B$4:B$107,A33)</f>
        <v>0</v>
      </c>
      <c r="C33" s="70" t="n">
        <f aca="false">SUMIF('🛒 Ventas del Día'!B$4:B$107,A33,'🛒 Ventas del Día'!G$4:G$107)</f>
        <v>0</v>
      </c>
      <c r="D33" s="70" t="n">
        <f aca="false">IFERROR(SUMIF('🛒 Ventas del Día'!B$4:B$107,A33,'🛒 Ventas del Día'!H$4:H$107),0)</f>
        <v>0</v>
      </c>
      <c r="E33" s="20" t="n">
        <f aca="false">C33-D33</f>
        <v>0</v>
      </c>
      <c r="F33" s="59" t="n">
        <f aca="false">IF(C33&gt;0,(C33-D33)/C33,0)</f>
        <v>0</v>
      </c>
      <c r="G33" s="71" t="n">
        <f aca="false">SUMIFS('🛒 Ventas del Día'!G$4:G$107,'🛒 Ventas del Día'!B$4:B$107,A33,'🛒 Ventas del Día'!J$4:J$107,"Efectivo")</f>
        <v>0</v>
      </c>
      <c r="H33" s="72" t="n">
        <f aca="false">SUMIFS('🛒 Ventas del Día'!G$4:G$107,'🛒 Ventas del Día'!B$4:B$107,A33,'🛒 Ventas del Día'!J$4:J$107,"Tarjeta")</f>
        <v>0</v>
      </c>
      <c r="I33" s="73" t="n">
        <f aca="false">IFERROR(SUMPRODUCT(('🛒 Ventas del Día'!$B$4:$B$107=A33)*('🛒 Ventas del Día'!$A$4:$A$107&lt;&gt;"")/COUNTIF('🛒 Ventas del Día'!$A$4:$A$107,'🛒 Ventas del Día'!$A$4:$A$107&amp;"")),0)</f>
        <v>0</v>
      </c>
      <c r="J33" s="74" t="n">
        <f aca="false">IFERROR(C33/I33,0)</f>
        <v>0</v>
      </c>
      <c r="K33" s="26"/>
    </row>
    <row r="34" customFormat="false" ht="18.75" hidden="false" customHeight="true" outlineLevel="0" collapsed="false">
      <c r="A34" s="39" t="n">
        <v>46191</v>
      </c>
      <c r="B34" s="75" t="n">
        <f aca="false">COUNTIF('🛒 Ventas del Día'!B$4:B$107,A34)</f>
        <v>0</v>
      </c>
      <c r="C34" s="76" t="n">
        <f aca="false">SUMIF('🛒 Ventas del Día'!B$4:B$107,A34,'🛒 Ventas del Día'!G$4:G$107)</f>
        <v>0</v>
      </c>
      <c r="D34" s="76" t="n">
        <f aca="false">IFERROR(SUMIF('🛒 Ventas del Día'!B$4:B$107,A34,'🛒 Ventas del Día'!H$4:H$107),0)</f>
        <v>0</v>
      </c>
      <c r="E34" s="13" t="n">
        <f aca="false">C34-D34</f>
        <v>0</v>
      </c>
      <c r="F34" s="63" t="n">
        <f aca="false">IF(C34&gt;0,(C34-D34)/C34,0)</f>
        <v>0</v>
      </c>
      <c r="G34" s="77" t="n">
        <f aca="false">SUMIFS('🛒 Ventas del Día'!G$4:G$107,'🛒 Ventas del Día'!B$4:B$107,A34,'🛒 Ventas del Día'!J$4:J$107,"Efectivo")</f>
        <v>0</v>
      </c>
      <c r="H34" s="78" t="n">
        <f aca="false">SUMIFS('🛒 Ventas del Día'!G$4:G$107,'🛒 Ventas del Día'!B$4:B$107,A34,'🛒 Ventas del Día'!J$4:J$107,"Tarjeta")</f>
        <v>0</v>
      </c>
      <c r="I34" s="79" t="n">
        <f aca="false">IFERROR(SUMPRODUCT(('🛒 Ventas del Día'!$B$4:$B$107=A34)*('🛒 Ventas del Día'!$A$4:$A$107&lt;&gt;"")/COUNTIF('🛒 Ventas del Día'!$A$4:$A$107,'🛒 Ventas del Día'!$A$4:$A$107&amp;"")),0)</f>
        <v>0</v>
      </c>
      <c r="J34" s="80" t="n">
        <f aca="false">IFERROR(C34/I34,0)</f>
        <v>0</v>
      </c>
      <c r="K34" s="26"/>
    </row>
    <row r="35" customFormat="false" ht="18.75" hidden="false" customHeight="true" outlineLevel="0" collapsed="false">
      <c r="A35" s="45" t="n">
        <v>46192</v>
      </c>
      <c r="B35" s="69" t="n">
        <f aca="false">COUNTIF('🛒 Ventas del Día'!B$4:B$107,A35)</f>
        <v>0</v>
      </c>
      <c r="C35" s="70" t="n">
        <f aca="false">SUMIF('🛒 Ventas del Día'!B$4:B$107,A35,'🛒 Ventas del Día'!G$4:G$107)</f>
        <v>0</v>
      </c>
      <c r="D35" s="70" t="n">
        <f aca="false">IFERROR(SUMIF('🛒 Ventas del Día'!B$4:B$107,A35,'🛒 Ventas del Día'!H$4:H$107),0)</f>
        <v>0</v>
      </c>
      <c r="E35" s="20" t="n">
        <f aca="false">C35-D35</f>
        <v>0</v>
      </c>
      <c r="F35" s="59" t="n">
        <f aca="false">IF(C35&gt;0,(C35-D35)/C35,0)</f>
        <v>0</v>
      </c>
      <c r="G35" s="71" t="n">
        <f aca="false">SUMIFS('🛒 Ventas del Día'!G$4:G$107,'🛒 Ventas del Día'!B$4:B$107,A35,'🛒 Ventas del Día'!J$4:J$107,"Efectivo")</f>
        <v>0</v>
      </c>
      <c r="H35" s="72" t="n">
        <f aca="false">SUMIFS('🛒 Ventas del Día'!G$4:G$107,'🛒 Ventas del Día'!B$4:B$107,A35,'🛒 Ventas del Día'!J$4:J$107,"Tarjeta")</f>
        <v>0</v>
      </c>
      <c r="I35" s="73" t="n">
        <f aca="false">IFERROR(SUMPRODUCT(('🛒 Ventas del Día'!$B$4:$B$107=A35)*('🛒 Ventas del Día'!$A$4:$A$107&lt;&gt;"")/COUNTIF('🛒 Ventas del Día'!$A$4:$A$107,'🛒 Ventas del Día'!$A$4:$A$107&amp;"")),0)</f>
        <v>0</v>
      </c>
      <c r="J35" s="74" t="n">
        <f aca="false">IFERROR(C35/I35,0)</f>
        <v>0</v>
      </c>
      <c r="K35" s="26"/>
    </row>
    <row r="36" customFormat="false" ht="18.75" hidden="false" customHeight="true" outlineLevel="0" collapsed="false">
      <c r="A36" s="39" t="n">
        <v>46193</v>
      </c>
      <c r="B36" s="75" t="n">
        <f aca="false">COUNTIF('🛒 Ventas del Día'!B$4:B$107,A36)</f>
        <v>0</v>
      </c>
      <c r="C36" s="76" t="n">
        <f aca="false">SUMIF('🛒 Ventas del Día'!B$4:B$107,A36,'🛒 Ventas del Día'!G$4:G$107)</f>
        <v>0</v>
      </c>
      <c r="D36" s="76" t="n">
        <f aca="false">IFERROR(SUMIF('🛒 Ventas del Día'!B$4:B$107,A36,'🛒 Ventas del Día'!H$4:H$107),0)</f>
        <v>0</v>
      </c>
      <c r="E36" s="13" t="n">
        <f aca="false">C36-D36</f>
        <v>0</v>
      </c>
      <c r="F36" s="63" t="n">
        <f aca="false">IF(C36&gt;0,(C36-D36)/C36,0)</f>
        <v>0</v>
      </c>
      <c r="G36" s="77" t="n">
        <f aca="false">SUMIFS('🛒 Ventas del Día'!G$4:G$107,'🛒 Ventas del Día'!B$4:B$107,A36,'🛒 Ventas del Día'!J$4:J$107,"Efectivo")</f>
        <v>0</v>
      </c>
      <c r="H36" s="78" t="n">
        <f aca="false">SUMIFS('🛒 Ventas del Día'!G$4:G$107,'🛒 Ventas del Día'!B$4:B$107,A36,'🛒 Ventas del Día'!J$4:J$107,"Tarjeta")</f>
        <v>0</v>
      </c>
      <c r="I36" s="79" t="n">
        <f aca="false">IFERROR(SUMPRODUCT(('🛒 Ventas del Día'!$B$4:$B$107=A36)*('🛒 Ventas del Día'!$A$4:$A$107&lt;&gt;"")/COUNTIF('🛒 Ventas del Día'!$A$4:$A$107,'🛒 Ventas del Día'!$A$4:$A$107&amp;"")),0)</f>
        <v>0</v>
      </c>
      <c r="J36" s="80" t="n">
        <f aca="false">IFERROR(C36/I36,0)</f>
        <v>0</v>
      </c>
      <c r="K36" s="26"/>
    </row>
    <row r="37" customFormat="false" ht="18.75" hidden="false" customHeight="true" outlineLevel="0" collapsed="false">
      <c r="A37" s="45" t="n">
        <v>46194</v>
      </c>
      <c r="B37" s="69" t="n">
        <f aca="false">COUNTIF('🛒 Ventas del Día'!B$4:B$107,A37)</f>
        <v>0</v>
      </c>
      <c r="C37" s="70" t="n">
        <f aca="false">SUMIF('🛒 Ventas del Día'!B$4:B$107,A37,'🛒 Ventas del Día'!G$4:G$107)</f>
        <v>0</v>
      </c>
      <c r="D37" s="70" t="n">
        <f aca="false">IFERROR(SUMIF('🛒 Ventas del Día'!B$4:B$107,A37,'🛒 Ventas del Día'!H$4:H$107),0)</f>
        <v>0</v>
      </c>
      <c r="E37" s="20" t="n">
        <f aca="false">C37-D37</f>
        <v>0</v>
      </c>
      <c r="F37" s="59" t="n">
        <f aca="false">IF(C37&gt;0,(C37-D37)/C37,0)</f>
        <v>0</v>
      </c>
      <c r="G37" s="71" t="n">
        <f aca="false">SUMIFS('🛒 Ventas del Día'!G$4:G$107,'🛒 Ventas del Día'!B$4:B$107,A37,'🛒 Ventas del Día'!J$4:J$107,"Efectivo")</f>
        <v>0</v>
      </c>
      <c r="H37" s="72" t="n">
        <f aca="false">SUMIFS('🛒 Ventas del Día'!G$4:G$107,'🛒 Ventas del Día'!B$4:B$107,A37,'🛒 Ventas del Día'!J$4:J$107,"Tarjeta")</f>
        <v>0</v>
      </c>
      <c r="I37" s="73" t="n">
        <f aca="false">IFERROR(SUMPRODUCT(('🛒 Ventas del Día'!$B$4:$B$107=A37)*('🛒 Ventas del Día'!$A$4:$A$107&lt;&gt;"")/COUNTIF('🛒 Ventas del Día'!$A$4:$A$107,'🛒 Ventas del Día'!$A$4:$A$107&amp;"")),0)</f>
        <v>0</v>
      </c>
      <c r="J37" s="74" t="n">
        <f aca="false">IFERROR(C37/I37,0)</f>
        <v>0</v>
      </c>
      <c r="K37" s="26"/>
    </row>
    <row r="38" customFormat="false" ht="18.75" hidden="false" customHeight="true" outlineLevel="0" collapsed="false">
      <c r="A38" s="39" t="n">
        <v>46195</v>
      </c>
      <c r="B38" s="75" t="n">
        <f aca="false">COUNTIF('🛒 Ventas del Día'!B$4:B$107,A38)</f>
        <v>0</v>
      </c>
      <c r="C38" s="76" t="n">
        <f aca="false">SUMIF('🛒 Ventas del Día'!B$4:B$107,A38,'🛒 Ventas del Día'!G$4:G$107)</f>
        <v>0</v>
      </c>
      <c r="D38" s="76" t="n">
        <f aca="false">IFERROR(SUMIF('🛒 Ventas del Día'!B$4:B$107,A38,'🛒 Ventas del Día'!H$4:H$107),0)</f>
        <v>0</v>
      </c>
      <c r="E38" s="13" t="n">
        <f aca="false">C38-D38</f>
        <v>0</v>
      </c>
      <c r="F38" s="63" t="n">
        <f aca="false">IF(C38&gt;0,(C38-D38)/C38,0)</f>
        <v>0</v>
      </c>
      <c r="G38" s="77" t="n">
        <f aca="false">SUMIFS('🛒 Ventas del Día'!G$4:G$107,'🛒 Ventas del Día'!B$4:B$107,A38,'🛒 Ventas del Día'!J$4:J$107,"Efectivo")</f>
        <v>0</v>
      </c>
      <c r="H38" s="78" t="n">
        <f aca="false">SUMIFS('🛒 Ventas del Día'!G$4:G$107,'🛒 Ventas del Día'!B$4:B$107,A38,'🛒 Ventas del Día'!J$4:J$107,"Tarjeta")</f>
        <v>0</v>
      </c>
      <c r="I38" s="79" t="n">
        <f aca="false">IFERROR(SUMPRODUCT(('🛒 Ventas del Día'!$B$4:$B$107=A38)*('🛒 Ventas del Día'!$A$4:$A$107&lt;&gt;"")/COUNTIF('🛒 Ventas del Día'!$A$4:$A$107,'🛒 Ventas del Día'!$A$4:$A$107&amp;"")),0)</f>
        <v>0</v>
      </c>
      <c r="J38" s="80" t="n">
        <f aca="false">IFERROR(C38/I38,0)</f>
        <v>0</v>
      </c>
      <c r="K38" s="26"/>
    </row>
    <row r="39" customFormat="false" ht="18.75" hidden="false" customHeight="true" outlineLevel="0" collapsed="false">
      <c r="A39" s="45" t="n">
        <v>46196</v>
      </c>
      <c r="B39" s="69" t="n">
        <f aca="false">COUNTIF('🛒 Ventas del Día'!B$4:B$107,A39)</f>
        <v>0</v>
      </c>
      <c r="C39" s="70" t="n">
        <f aca="false">SUMIF('🛒 Ventas del Día'!B$4:B$107,A39,'🛒 Ventas del Día'!G$4:G$107)</f>
        <v>0</v>
      </c>
      <c r="D39" s="70" t="n">
        <f aca="false">IFERROR(SUMIF('🛒 Ventas del Día'!B$4:B$107,A39,'🛒 Ventas del Día'!H$4:H$107),0)</f>
        <v>0</v>
      </c>
      <c r="E39" s="20" t="n">
        <f aca="false">C39-D39</f>
        <v>0</v>
      </c>
      <c r="F39" s="59" t="n">
        <f aca="false">IF(C39&gt;0,(C39-D39)/C39,0)</f>
        <v>0</v>
      </c>
      <c r="G39" s="71" t="n">
        <f aca="false">SUMIFS('🛒 Ventas del Día'!G$4:G$107,'🛒 Ventas del Día'!B$4:B$107,A39,'🛒 Ventas del Día'!J$4:J$107,"Efectivo")</f>
        <v>0</v>
      </c>
      <c r="H39" s="72" t="n">
        <f aca="false">SUMIFS('🛒 Ventas del Día'!G$4:G$107,'🛒 Ventas del Día'!B$4:B$107,A39,'🛒 Ventas del Día'!J$4:J$107,"Tarjeta")</f>
        <v>0</v>
      </c>
      <c r="I39" s="73" t="n">
        <f aca="false">IFERROR(SUMPRODUCT(('🛒 Ventas del Día'!$B$4:$B$107=A39)*('🛒 Ventas del Día'!$A$4:$A$107&lt;&gt;"")/COUNTIF('🛒 Ventas del Día'!$A$4:$A$107,'🛒 Ventas del Día'!$A$4:$A$107&amp;"")),0)</f>
        <v>0</v>
      </c>
      <c r="J39" s="74" t="n">
        <f aca="false">IFERROR(C39/I39,0)</f>
        <v>0</v>
      </c>
      <c r="K39" s="26"/>
    </row>
    <row r="40" customFormat="false" ht="18.75" hidden="false" customHeight="true" outlineLevel="0" collapsed="false">
      <c r="A40" s="39" t="n">
        <v>46197</v>
      </c>
      <c r="B40" s="75" t="n">
        <f aca="false">COUNTIF('🛒 Ventas del Día'!B$4:B$107,A40)</f>
        <v>0</v>
      </c>
      <c r="C40" s="76" t="n">
        <f aca="false">SUMIF('🛒 Ventas del Día'!B$4:B$107,A40,'🛒 Ventas del Día'!G$4:G$107)</f>
        <v>0</v>
      </c>
      <c r="D40" s="76" t="n">
        <f aca="false">IFERROR(SUMIF('🛒 Ventas del Día'!B$4:B$107,A40,'🛒 Ventas del Día'!H$4:H$107),0)</f>
        <v>0</v>
      </c>
      <c r="E40" s="13" t="n">
        <f aca="false">C40-D40</f>
        <v>0</v>
      </c>
      <c r="F40" s="63" t="n">
        <f aca="false">IF(C40&gt;0,(C40-D40)/C40,0)</f>
        <v>0</v>
      </c>
      <c r="G40" s="77" t="n">
        <f aca="false">SUMIFS('🛒 Ventas del Día'!G$4:G$107,'🛒 Ventas del Día'!B$4:B$107,A40,'🛒 Ventas del Día'!J$4:J$107,"Efectivo")</f>
        <v>0</v>
      </c>
      <c r="H40" s="78" t="n">
        <f aca="false">SUMIFS('🛒 Ventas del Día'!G$4:G$107,'🛒 Ventas del Día'!B$4:B$107,A40,'🛒 Ventas del Día'!J$4:J$107,"Tarjeta")</f>
        <v>0</v>
      </c>
      <c r="I40" s="79" t="n">
        <f aca="false">IFERROR(SUMPRODUCT(('🛒 Ventas del Día'!$B$4:$B$107=A40)*('🛒 Ventas del Día'!$A$4:$A$107&lt;&gt;"")/COUNTIF('🛒 Ventas del Día'!$A$4:$A$107,'🛒 Ventas del Día'!$A$4:$A$107&amp;"")),0)</f>
        <v>0</v>
      </c>
      <c r="J40" s="80" t="n">
        <f aca="false">IFERROR(C40/I40,0)</f>
        <v>0</v>
      </c>
      <c r="K40" s="26"/>
    </row>
    <row r="41" customFormat="false" ht="18.75" hidden="false" customHeight="true" outlineLevel="0" collapsed="false">
      <c r="A41" s="45" t="n">
        <v>46198</v>
      </c>
      <c r="B41" s="69" t="n">
        <f aca="false">COUNTIF('🛒 Ventas del Día'!B$4:B$107,A41)</f>
        <v>0</v>
      </c>
      <c r="C41" s="70" t="n">
        <f aca="false">SUMIF('🛒 Ventas del Día'!B$4:B$107,A41,'🛒 Ventas del Día'!G$4:G$107)</f>
        <v>0</v>
      </c>
      <c r="D41" s="70" t="n">
        <f aca="false">IFERROR(SUMIF('🛒 Ventas del Día'!B$4:B$107,A41,'🛒 Ventas del Día'!H$4:H$107),0)</f>
        <v>0</v>
      </c>
      <c r="E41" s="20" t="n">
        <f aca="false">C41-D41</f>
        <v>0</v>
      </c>
      <c r="F41" s="59" t="n">
        <f aca="false">IF(C41&gt;0,(C41-D41)/C41,0)</f>
        <v>0</v>
      </c>
      <c r="G41" s="71" t="n">
        <f aca="false">SUMIFS('🛒 Ventas del Día'!G$4:G$107,'🛒 Ventas del Día'!B$4:B$107,A41,'🛒 Ventas del Día'!J$4:J$107,"Efectivo")</f>
        <v>0</v>
      </c>
      <c r="H41" s="72" t="n">
        <f aca="false">SUMIFS('🛒 Ventas del Día'!G$4:G$107,'🛒 Ventas del Día'!B$4:B$107,A41,'🛒 Ventas del Día'!J$4:J$107,"Tarjeta")</f>
        <v>0</v>
      </c>
      <c r="I41" s="73" t="n">
        <f aca="false">IFERROR(SUMPRODUCT(('🛒 Ventas del Día'!$B$4:$B$107=A41)*('🛒 Ventas del Día'!$A$4:$A$107&lt;&gt;"")/COUNTIF('🛒 Ventas del Día'!$A$4:$A$107,'🛒 Ventas del Día'!$A$4:$A$107&amp;"")),0)</f>
        <v>0</v>
      </c>
      <c r="J41" s="74" t="n">
        <f aca="false">IFERROR(C41/I41,0)</f>
        <v>0</v>
      </c>
      <c r="K41" s="26"/>
    </row>
    <row r="42" customFormat="false" ht="18.75" hidden="false" customHeight="true" outlineLevel="0" collapsed="false">
      <c r="A42" s="39" t="n">
        <v>46199</v>
      </c>
      <c r="B42" s="75" t="n">
        <f aca="false">COUNTIF('🛒 Ventas del Día'!B$4:B$107,A42)</f>
        <v>0</v>
      </c>
      <c r="C42" s="76" t="n">
        <f aca="false">SUMIF('🛒 Ventas del Día'!B$4:B$107,A42,'🛒 Ventas del Día'!G$4:G$107)</f>
        <v>0</v>
      </c>
      <c r="D42" s="76" t="n">
        <f aca="false">IFERROR(SUMIF('🛒 Ventas del Día'!B$4:B$107,A42,'🛒 Ventas del Día'!H$4:H$107),0)</f>
        <v>0</v>
      </c>
      <c r="E42" s="13" t="n">
        <f aca="false">C42-D42</f>
        <v>0</v>
      </c>
      <c r="F42" s="63" t="n">
        <f aca="false">IF(C42&gt;0,(C42-D42)/C42,0)</f>
        <v>0</v>
      </c>
      <c r="G42" s="77" t="n">
        <f aca="false">SUMIFS('🛒 Ventas del Día'!G$4:G$107,'🛒 Ventas del Día'!B$4:B$107,A42,'🛒 Ventas del Día'!J$4:J$107,"Efectivo")</f>
        <v>0</v>
      </c>
      <c r="H42" s="78" t="n">
        <f aca="false">SUMIFS('🛒 Ventas del Día'!G$4:G$107,'🛒 Ventas del Día'!B$4:B$107,A42,'🛒 Ventas del Día'!J$4:J$107,"Tarjeta")</f>
        <v>0</v>
      </c>
      <c r="I42" s="79" t="n">
        <f aca="false">IFERROR(SUMPRODUCT(('🛒 Ventas del Día'!$B$4:$B$107=A42)*('🛒 Ventas del Día'!$A$4:$A$107&lt;&gt;"")/COUNTIF('🛒 Ventas del Día'!$A$4:$A$107,'🛒 Ventas del Día'!$A$4:$A$107&amp;"")),0)</f>
        <v>0</v>
      </c>
      <c r="J42" s="80" t="n">
        <f aca="false">IFERROR(C42/I42,0)</f>
        <v>0</v>
      </c>
      <c r="K42" s="26"/>
    </row>
    <row r="43" customFormat="false" ht="18.75" hidden="false" customHeight="true" outlineLevel="0" collapsed="false">
      <c r="A43" s="45" t="n">
        <v>46200</v>
      </c>
      <c r="B43" s="69" t="n">
        <f aca="false">COUNTIF('🛒 Ventas del Día'!B$4:B$107,A43)</f>
        <v>0</v>
      </c>
      <c r="C43" s="70" t="n">
        <f aca="false">SUMIF('🛒 Ventas del Día'!B$4:B$107,A43,'🛒 Ventas del Día'!G$4:G$107)</f>
        <v>0</v>
      </c>
      <c r="D43" s="70" t="n">
        <f aca="false">IFERROR(SUMIF('🛒 Ventas del Día'!B$4:B$107,A43,'🛒 Ventas del Día'!H$4:H$107),0)</f>
        <v>0</v>
      </c>
      <c r="E43" s="20" t="n">
        <f aca="false">C43-D43</f>
        <v>0</v>
      </c>
      <c r="F43" s="59" t="n">
        <f aca="false">IF(C43&gt;0,(C43-D43)/C43,0)</f>
        <v>0</v>
      </c>
      <c r="G43" s="71" t="n">
        <f aca="false">SUMIFS('🛒 Ventas del Día'!G$4:G$107,'🛒 Ventas del Día'!B$4:B$107,A43,'🛒 Ventas del Día'!J$4:J$107,"Efectivo")</f>
        <v>0</v>
      </c>
      <c r="H43" s="72" t="n">
        <f aca="false">SUMIFS('🛒 Ventas del Día'!G$4:G$107,'🛒 Ventas del Día'!B$4:B$107,A43,'🛒 Ventas del Día'!J$4:J$107,"Tarjeta")</f>
        <v>0</v>
      </c>
      <c r="I43" s="73" t="n">
        <f aca="false">IFERROR(SUMPRODUCT(('🛒 Ventas del Día'!$B$4:$B$107=A43)*('🛒 Ventas del Día'!$A$4:$A$107&lt;&gt;"")/COUNTIF('🛒 Ventas del Día'!$A$4:$A$107,'🛒 Ventas del Día'!$A$4:$A$107&amp;"")),0)</f>
        <v>0</v>
      </c>
      <c r="J43" s="74" t="n">
        <f aca="false">IFERROR(C43/I43,0)</f>
        <v>0</v>
      </c>
      <c r="K43" s="26"/>
    </row>
    <row r="44" customFormat="false" ht="18.75" hidden="false" customHeight="true" outlineLevel="0" collapsed="false">
      <c r="A44" s="39" t="n">
        <v>46201</v>
      </c>
      <c r="B44" s="75" t="n">
        <f aca="false">COUNTIF('🛒 Ventas del Día'!B$4:B$107,A44)</f>
        <v>0</v>
      </c>
      <c r="C44" s="76" t="n">
        <f aca="false">SUMIF('🛒 Ventas del Día'!B$4:B$107,A44,'🛒 Ventas del Día'!G$4:G$107)</f>
        <v>0</v>
      </c>
      <c r="D44" s="76" t="n">
        <f aca="false">IFERROR(SUMIF('🛒 Ventas del Día'!B$4:B$107,A44,'🛒 Ventas del Día'!H$4:H$107),0)</f>
        <v>0</v>
      </c>
      <c r="E44" s="13" t="n">
        <f aca="false">C44-D44</f>
        <v>0</v>
      </c>
      <c r="F44" s="63" t="n">
        <f aca="false">IF(C44&gt;0,(C44-D44)/C44,0)</f>
        <v>0</v>
      </c>
      <c r="G44" s="77" t="n">
        <f aca="false">SUMIFS('🛒 Ventas del Día'!G$4:G$107,'🛒 Ventas del Día'!B$4:B$107,A44,'🛒 Ventas del Día'!J$4:J$107,"Efectivo")</f>
        <v>0</v>
      </c>
      <c r="H44" s="78" t="n">
        <f aca="false">SUMIFS('🛒 Ventas del Día'!G$4:G$107,'🛒 Ventas del Día'!B$4:B$107,A44,'🛒 Ventas del Día'!J$4:J$107,"Tarjeta")</f>
        <v>0</v>
      </c>
      <c r="I44" s="79" t="n">
        <f aca="false">IFERROR(SUMPRODUCT(('🛒 Ventas del Día'!$B$4:$B$107=A44)*('🛒 Ventas del Día'!$A$4:$A$107&lt;&gt;"")/COUNTIF('🛒 Ventas del Día'!$A$4:$A$107,'🛒 Ventas del Día'!$A$4:$A$107&amp;"")),0)</f>
        <v>0</v>
      </c>
      <c r="J44" s="80" t="n">
        <f aca="false">IFERROR(C44/I44,0)</f>
        <v>0</v>
      </c>
      <c r="K44" s="26"/>
    </row>
    <row r="45" customFormat="false" ht="18.75" hidden="false" customHeight="true" outlineLevel="0" collapsed="false">
      <c r="A45" s="45" t="n">
        <v>46202</v>
      </c>
      <c r="B45" s="69" t="n">
        <f aca="false">COUNTIF('🛒 Ventas del Día'!B$4:B$107,A45)</f>
        <v>0</v>
      </c>
      <c r="C45" s="70" t="n">
        <f aca="false">SUMIF('🛒 Ventas del Día'!B$4:B$107,A45,'🛒 Ventas del Día'!G$4:G$107)</f>
        <v>0</v>
      </c>
      <c r="D45" s="70" t="n">
        <f aca="false">IFERROR(SUMIF('🛒 Ventas del Día'!B$4:B$107,A45,'🛒 Ventas del Día'!H$4:H$107),0)</f>
        <v>0</v>
      </c>
      <c r="E45" s="20" t="n">
        <f aca="false">C45-D45</f>
        <v>0</v>
      </c>
      <c r="F45" s="59" t="n">
        <f aca="false">IF(C45&gt;0,(C45-D45)/C45,0)</f>
        <v>0</v>
      </c>
      <c r="G45" s="71" t="n">
        <f aca="false">SUMIFS('🛒 Ventas del Día'!G$4:G$107,'🛒 Ventas del Día'!B$4:B$107,A45,'🛒 Ventas del Día'!J$4:J$107,"Efectivo")</f>
        <v>0</v>
      </c>
      <c r="H45" s="72" t="n">
        <f aca="false">SUMIFS('🛒 Ventas del Día'!G$4:G$107,'🛒 Ventas del Día'!B$4:B$107,A45,'🛒 Ventas del Día'!J$4:J$107,"Tarjeta")</f>
        <v>0</v>
      </c>
      <c r="I45" s="73" t="n">
        <f aca="false">IFERROR(SUMPRODUCT(('🛒 Ventas del Día'!$B$4:$B$107=A45)*('🛒 Ventas del Día'!$A$4:$A$107&lt;&gt;"")/COUNTIF('🛒 Ventas del Día'!$A$4:$A$107,'🛒 Ventas del Día'!$A$4:$A$107&amp;"")),0)</f>
        <v>0</v>
      </c>
      <c r="J45" s="74" t="n">
        <f aca="false">IFERROR(C45/I45,0)</f>
        <v>0</v>
      </c>
      <c r="K45" s="26"/>
    </row>
    <row r="46" customFormat="false" ht="18.75" hidden="false" customHeight="true" outlineLevel="0" collapsed="false">
      <c r="A46" s="39" t="n">
        <v>46203</v>
      </c>
      <c r="B46" s="75" t="n">
        <f aca="false">COUNTIF('🛒 Ventas del Día'!B$4:B$107,A46)</f>
        <v>0</v>
      </c>
      <c r="C46" s="76" t="n">
        <f aca="false">SUMIF('🛒 Ventas del Día'!B$4:B$107,A46,'🛒 Ventas del Día'!G$4:G$107)</f>
        <v>0</v>
      </c>
      <c r="D46" s="76" t="n">
        <f aca="false">IFERROR(SUMIF('🛒 Ventas del Día'!B$4:B$107,A46,'🛒 Ventas del Día'!H$4:H$107),0)</f>
        <v>0</v>
      </c>
      <c r="E46" s="13" t="n">
        <f aca="false">C46-D46</f>
        <v>0</v>
      </c>
      <c r="F46" s="63" t="n">
        <f aca="false">IF(C46&gt;0,(C46-D46)/C46,0)</f>
        <v>0</v>
      </c>
      <c r="G46" s="77" t="n">
        <f aca="false">SUMIFS('🛒 Ventas del Día'!G$4:G$107,'🛒 Ventas del Día'!B$4:B$107,A46,'🛒 Ventas del Día'!J$4:J$107,"Efectivo")</f>
        <v>0</v>
      </c>
      <c r="H46" s="78" t="n">
        <f aca="false">SUMIFS('🛒 Ventas del Día'!G$4:G$107,'🛒 Ventas del Día'!B$4:B$107,A46,'🛒 Ventas del Día'!J$4:J$107,"Tarjeta")</f>
        <v>0</v>
      </c>
      <c r="I46" s="79" t="n">
        <f aca="false">IFERROR(SUMPRODUCT(('🛒 Ventas del Día'!$B$4:$B$107=A46)*('🛒 Ventas del Día'!$A$4:$A$107&lt;&gt;"")/COUNTIF('🛒 Ventas del Día'!$A$4:$A$107,'🛒 Ventas del Día'!$A$4:$A$107&amp;"")),0)</f>
        <v>0</v>
      </c>
      <c r="J46" s="80" t="n">
        <f aca="false">IFERROR(C46/I46,0)</f>
        <v>0</v>
      </c>
      <c r="K46" s="26"/>
    </row>
    <row r="47" customFormat="false" ht="24.75" hidden="false" customHeight="true" outlineLevel="0" collapsed="false">
      <c r="A47" s="52" t="s">
        <v>147</v>
      </c>
      <c r="B47" s="52"/>
      <c r="C47" s="52"/>
      <c r="D47" s="52"/>
      <c r="E47" s="52"/>
      <c r="F47" s="52"/>
      <c r="G47" s="81" t="n">
        <f aca="false">SUM(G17:G46)</f>
        <v>25915</v>
      </c>
      <c r="H47" s="82" t="n">
        <f aca="false">SUM(H17:H46)</f>
        <v>221331.5</v>
      </c>
      <c r="I47" s="83" t="n">
        <f aca="false">SUM(I17:I46)</f>
        <v>17</v>
      </c>
      <c r="J47" s="84" t="n">
        <f aca="false">IFERROR(SUM(C17:C46)/I47,0)</f>
        <v>21576.2647058824</v>
      </c>
      <c r="K47" s="26"/>
    </row>
    <row r="48" customFormat="false" ht="7.5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30" hidden="false" customHeight="true" outlineLevel="0" collapsed="false">
      <c r="A49" s="85" t="s">
        <v>148</v>
      </c>
      <c r="B49" s="85"/>
      <c r="C49" s="85"/>
      <c r="D49" s="85"/>
      <c r="E49" s="85"/>
      <c r="F49" s="85"/>
      <c r="G49" s="85"/>
      <c r="H49" s="85"/>
      <c r="I49" s="85"/>
      <c r="J49" s="85"/>
      <c r="K49" s="26"/>
    </row>
    <row r="50" customFormat="false" ht="15" hidden="false" customHeight="true" outlineLevel="0" collapsed="false">
      <c r="A50" s="86" t="s">
        <v>149</v>
      </c>
      <c r="B50" s="86" t="s">
        <v>150</v>
      </c>
      <c r="C50" s="26"/>
      <c r="D50" s="26"/>
      <c r="E50" s="26"/>
      <c r="F50" s="26"/>
      <c r="G50" s="26"/>
      <c r="H50" s="26"/>
      <c r="I50" s="26"/>
      <c r="J50" s="26"/>
      <c r="K50" s="26"/>
    </row>
    <row r="51" customFormat="false" ht="21.75" hidden="false" customHeight="true" outlineLevel="0" collapsed="false">
      <c r="A51" s="57" t="s">
        <v>151</v>
      </c>
      <c r="B51" s="87" t="n">
        <f aca="false">I47</f>
        <v>17</v>
      </c>
      <c r="C51" s="26"/>
      <c r="D51" s="26"/>
      <c r="E51" s="26"/>
      <c r="F51" s="26"/>
      <c r="G51" s="26"/>
      <c r="H51" s="26"/>
      <c r="I51" s="26"/>
      <c r="J51" s="26"/>
      <c r="K51" s="26"/>
    </row>
    <row r="52" customFormat="false" ht="21.75" hidden="false" customHeight="true" outlineLevel="0" collapsed="false">
      <c r="A52" s="61" t="s">
        <v>152</v>
      </c>
      <c r="B52" s="88" t="n">
        <f aca="false">J47</f>
        <v>21576.2647058824</v>
      </c>
      <c r="C52" s="26"/>
      <c r="D52" s="26"/>
      <c r="E52" s="26"/>
      <c r="F52" s="26"/>
      <c r="G52" s="26"/>
      <c r="H52" s="26"/>
      <c r="I52" s="26"/>
      <c r="J52" s="26"/>
      <c r="K52" s="26"/>
    </row>
    <row r="53" customFormat="false" ht="21.75" hidden="false" customHeight="true" outlineLevel="0" collapsed="false">
      <c r="A53" s="57" t="s">
        <v>153</v>
      </c>
      <c r="B53" s="89" t="n">
        <f aca="false">SUM(C17:C46)</f>
        <v>366796.5</v>
      </c>
      <c r="C53" s="26"/>
      <c r="D53" s="26"/>
      <c r="E53" s="26"/>
      <c r="F53" s="26"/>
      <c r="G53" s="26"/>
      <c r="H53" s="26"/>
      <c r="I53" s="26"/>
      <c r="J53" s="26"/>
      <c r="K53" s="26"/>
    </row>
    <row r="54" customFormat="false" ht="21.75" hidden="false" customHeight="true" outlineLevel="0" collapsed="false">
      <c r="A54" s="61" t="s">
        <v>154</v>
      </c>
      <c r="B54" s="88" t="n">
        <f aca="false">SUM(E17:E46)</f>
        <v>107771.28</v>
      </c>
      <c r="C54" s="26"/>
      <c r="D54" s="26"/>
      <c r="E54" s="26"/>
      <c r="F54" s="26"/>
      <c r="G54" s="26"/>
      <c r="H54" s="26"/>
      <c r="I54" s="26"/>
      <c r="J54" s="26"/>
      <c r="K54" s="26"/>
    </row>
    <row r="55" customFormat="false" ht="21.75" hidden="false" customHeight="true" outlineLevel="0" collapsed="false">
      <c r="A55" s="57" t="s">
        <v>155</v>
      </c>
      <c r="B55" s="90" t="n">
        <f aca="false">IFERROR(SUM(E17:E46)/SUM(C17:C46),0)</f>
        <v>0.29381763457394</v>
      </c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61" t="s">
        <v>156</v>
      </c>
      <c r="B56" s="88" t="n">
        <f aca="false">IFERROR(MAX('🛒 Ventas del Día'!K$4:K$107),0)</f>
        <v>49000</v>
      </c>
      <c r="C56" s="26"/>
      <c r="D56" s="26"/>
      <c r="E56" s="26"/>
      <c r="F56" s="26"/>
      <c r="G56" s="26"/>
      <c r="H56" s="26"/>
      <c r="I56" s="26"/>
      <c r="J56" s="26"/>
      <c r="K56" s="26"/>
    </row>
    <row r="57" customFormat="false" ht="21.75" hidden="false" customHeight="true" outlineLevel="0" collapsed="false">
      <c r="A57" s="57" t="s">
        <v>157</v>
      </c>
      <c r="B57" s="91" t="n">
        <f aca="false">IFERROR(AVERAGEIF(I17:I46,"&gt;0"),0)</f>
        <v>17</v>
      </c>
      <c r="C57" s="26"/>
      <c r="D57" s="26"/>
      <c r="E57" s="26"/>
      <c r="F57" s="26"/>
      <c r="G57" s="26"/>
      <c r="H57" s="26"/>
      <c r="I57" s="26"/>
      <c r="J57" s="26"/>
      <c r="K57" s="26"/>
    </row>
    <row r="58" customFormat="false" ht="21.75" hidden="false" customHeight="true" outlineLevel="0" collapsed="false">
      <c r="A58" s="61" t="s">
        <v>158</v>
      </c>
      <c r="B58" s="88" t="n">
        <f aca="false">IFERROR(AVERAGEIF(C17:C46,"&gt;0"),0)</f>
        <v>122265.5</v>
      </c>
      <c r="C58" s="26"/>
      <c r="D58" s="26"/>
      <c r="E58" s="26"/>
      <c r="F58" s="26"/>
      <c r="G58" s="26"/>
      <c r="H58" s="26"/>
      <c r="I58" s="26"/>
      <c r="J58" s="26"/>
      <c r="K58" s="26"/>
    </row>
    <row r="59" customFormat="false" ht="21.75" hidden="false" customHeight="true" outlineLevel="0" collapsed="false">
      <c r="A59" s="57" t="s">
        <v>159</v>
      </c>
      <c r="B59" s="89" t="n">
        <f aca="false">IFERROR(AVERAGEIF(E17:E46,"&gt;0"),0)</f>
        <v>35923.76</v>
      </c>
      <c r="C59" s="26"/>
      <c r="D59" s="26"/>
      <c r="E59" s="26"/>
      <c r="F59" s="26"/>
      <c r="G59" s="26"/>
      <c r="H59" s="26"/>
      <c r="I59" s="26"/>
      <c r="J59" s="26"/>
      <c r="K59" s="26"/>
    </row>
    <row r="60" customFormat="false" ht="21.7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customFormat="false" ht="21.7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customFormat="false" ht="14.2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customFormat="false" ht="14.2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customFormat="false" ht="14.2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customFormat="false" ht="14.2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customFormat="false" ht="14.2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customFormat="false" ht="14.2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customFormat="false" ht="14.2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customFormat="false" ht="14.2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customFormat="false" ht="14.2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customFormat="false" ht="14.2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customFormat="false" ht="14.2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customFormat="false" ht="14.2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customFormat="false" ht="14.2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customFormat="false" ht="14.2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customFormat="false" ht="14.2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customFormat="false" ht="14.2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customFormat="false" ht="14.2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customFormat="false" ht="14.2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</sheetData>
  <mergeCells count="5">
    <mergeCell ref="A1:J1"/>
    <mergeCell ref="A3:H3"/>
    <mergeCell ref="A15:J15"/>
    <mergeCell ref="A47:F47"/>
    <mergeCell ref="A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7" activeCellId="0" sqref="C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9" min="8" style="1" width="2"/>
  </cols>
  <sheetData>
    <row r="1" customFormat="false" ht="37.5" hidden="false" customHeight="true" outlineLevel="0" collapsed="false">
      <c r="A1" s="2" t="s">
        <v>160</v>
      </c>
      <c r="B1" s="2"/>
      <c r="C1" s="2"/>
      <c r="D1" s="2"/>
      <c r="E1" s="2"/>
      <c r="F1" s="2"/>
      <c r="G1" s="26"/>
      <c r="H1" s="26"/>
      <c r="I1" s="26"/>
      <c r="J1" s="26"/>
      <c r="K1" s="26"/>
    </row>
    <row r="2" customFormat="false" ht="15" hidden="false" customHeight="tru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27.75" hidden="false" customHeight="true" outlineLevel="0" collapsed="false">
      <c r="A3" s="56" t="s">
        <v>161</v>
      </c>
      <c r="B3" s="56"/>
      <c r="C3" s="56"/>
      <c r="D3" s="56"/>
      <c r="E3" s="56"/>
      <c r="F3" s="56"/>
      <c r="G3" s="26"/>
      <c r="H3" s="26"/>
      <c r="I3" s="26"/>
      <c r="J3" s="26"/>
      <c r="K3" s="26"/>
    </row>
    <row r="4" customFormat="false" ht="21.75" hidden="false" customHeight="true" outlineLevel="0" collapsed="false">
      <c r="A4" s="4" t="s">
        <v>162</v>
      </c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26"/>
      <c r="H4" s="26"/>
      <c r="I4" s="26"/>
      <c r="J4" s="26"/>
      <c r="K4" s="26"/>
      <c r="L4" s="26"/>
    </row>
    <row r="5" customFormat="false" ht="24" hidden="false" customHeight="true" outlineLevel="0" collapsed="false">
      <c r="A5" s="92" t="s">
        <v>168</v>
      </c>
      <c r="B5" s="93" t="n">
        <v>0</v>
      </c>
      <c r="C5" s="94" t="n">
        <f aca="false">SUMIF('🛒 Ventas del Día'!D$4:D$107,"Huevo Primera 6u",'🛒 Ventas del Día'!F$4:F$107)*6+SUMIF('🛒 Ventas del Día'!D$4:D$107,"Huevo Primera 12u",'🛒 Ventas del Día'!F$4:F$107)*12+SUMIF('🛒 Ventas del Día'!D$4:D$107,"Huevo Primera 15u",'🛒 Ventas del Día'!F$4:F$107)*15+SUMIF('🛒 Ventas del Día'!D$4:D$107,"Huevo Primera 30u",'🛒 Ventas del Día'!F$4:F$107)*30+SUMIF('🛒 Ventas del Día'!D$4:D$107,"Huevo Primera 180u",'🛒 Ventas del Día'!F$4:F$107)*180</f>
        <v>156</v>
      </c>
      <c r="D5" s="95" t="n">
        <f aca="false">B5-C5</f>
        <v>-156</v>
      </c>
      <c r="E5" s="96" t="n">
        <v>0</v>
      </c>
      <c r="F5" s="97" t="str">
        <f aca="false">IF(D5&lt;=0,"❌ SIN STOCK",IF(D5&lt;=E5,"⚠️ STOCK BAJO","✅ OK"))</f>
        <v>❌ SIN STOCK</v>
      </c>
      <c r="G5" s="26"/>
      <c r="H5" s="26"/>
      <c r="I5" s="26"/>
      <c r="J5" s="26"/>
      <c r="K5" s="26"/>
      <c r="L5" s="26"/>
    </row>
    <row r="6" customFormat="false" ht="24" hidden="false" customHeight="true" outlineLevel="0" collapsed="false">
      <c r="A6" s="98" t="s">
        <v>169</v>
      </c>
      <c r="B6" s="99" t="n">
        <v>0</v>
      </c>
      <c r="C6" s="100" t="n">
        <f aca="false">SUMIF('🛒 Ventas del Día'!D$4:D$107,"Huevo Extra 6u",'🛒 Ventas del Día'!F$4:F$107)*6+SUMIF('🛒 Ventas del Día'!D$4:D$107,"Huevo Extra 12u",'🛒 Ventas del Día'!F$4:F$107)*12+SUMIF('🛒 Ventas del Día'!D$4:D$107,"Huevo Extra 15u",'🛒 Ventas del Día'!F$4:F$107)*15+SUMIF('🛒 Ventas del Día'!D$4:D$107,"Huevo Extra 30u",'🛒 Ventas del Día'!F$4:F$107)*30+SUMIF('🛒 Ventas del Día'!D$4:D$107,"Huevo Extra 180u",'🛒 Ventas del Día'!F$4:F$107)*180</f>
        <v>648</v>
      </c>
      <c r="D6" s="101" t="n">
        <f aca="false">B6-C6</f>
        <v>-648</v>
      </c>
      <c r="E6" s="102" t="n">
        <v>0</v>
      </c>
      <c r="F6" s="103" t="str">
        <f aca="false">IF(D6&lt;=0,"❌ SIN STOCK",IF(D6&lt;=E6,"⚠️ STOCK BAJO","✅ OK"))</f>
        <v>❌ SIN STOCK</v>
      </c>
      <c r="G6" s="26"/>
      <c r="H6" s="26"/>
      <c r="I6" s="26"/>
      <c r="J6" s="26"/>
      <c r="K6" s="26"/>
      <c r="L6" s="26"/>
    </row>
    <row r="7" customFormat="false" ht="24" hidden="false" customHeight="true" outlineLevel="0" collapsed="false">
      <c r="A7" s="92" t="s">
        <v>170</v>
      </c>
      <c r="B7" s="93" t="n">
        <v>0</v>
      </c>
      <c r="C7" s="94" t="n">
        <f aca="false">SUMIF('🛒 Ventas del Día'!D$4:D$107,"Huevo Super 6u",'🛒 Ventas del Día'!F$4:F$107)*6+SUMIF('🛒 Ventas del Día'!D$4:D$107,"Huevo Super 12u",'🛒 Ventas del Día'!F$4:F$107)*12+SUMIF('🛒 Ventas del Día'!D$4:D$107,"Huevo Super 15u",'🛒 Ventas del Día'!F$4:F$107)*15+SUMIF('🛒 Ventas del Día'!D$4:D$107,"Huevo Super 30u",'🛒 Ventas del Día'!F$4:F$107)*30+SUMIF('🛒 Ventas del Día'!D$4:D$107,"Huevo Super 180u",'🛒 Ventas del Día'!F$4:F$107)*180</f>
        <v>120</v>
      </c>
      <c r="D7" s="95" t="n">
        <f aca="false">B7-C7</f>
        <v>-120</v>
      </c>
      <c r="E7" s="96" t="n">
        <v>0</v>
      </c>
      <c r="F7" s="97" t="str">
        <f aca="false">IF(D7&lt;=0,"❌ SIN STOCK",IF(D7&lt;=E7,"⚠️ STOCK BAJO","✅ OK"))</f>
        <v>❌ SIN STOCK</v>
      </c>
      <c r="G7" s="26"/>
      <c r="H7" s="26"/>
      <c r="I7" s="26"/>
      <c r="J7" s="26"/>
      <c r="K7" s="26"/>
      <c r="L7" s="26"/>
    </row>
    <row r="8" customFormat="false" ht="24" hidden="false" customHeight="true" outlineLevel="0" collapsed="false">
      <c r="A8" s="98" t="s">
        <v>171</v>
      </c>
      <c r="B8" s="99" t="n">
        <v>0</v>
      </c>
      <c r="C8" s="100" t="n">
        <f aca="false">SUMIF('🛒 Ventas del Día'!D$4:D$107,"Huevo Jumbo 20u",'🛒 Ventas del Día'!F$4:F$107)*20+SUMIF('🛒 Ventas del Día'!D$4:D$107,"Huevo Jumbo 100u",'🛒 Ventas del Día'!F$4:F$107)*100</f>
        <v>0</v>
      </c>
      <c r="D8" s="101" t="n">
        <f aca="false">B8-C8</f>
        <v>0</v>
      </c>
      <c r="E8" s="102" t="n">
        <v>0</v>
      </c>
      <c r="F8" s="103" t="str">
        <f aca="false">IF(D8&lt;=0,"❌ SIN STOCK",IF(D8&lt;=E8,"⚠️ STOCK BAJO","✅ OK"))</f>
        <v>❌ SIN STOCK</v>
      </c>
      <c r="G8" s="26"/>
      <c r="H8" s="26"/>
      <c r="I8" s="26"/>
      <c r="J8" s="26"/>
      <c r="K8" s="26"/>
      <c r="L8" s="26"/>
    </row>
    <row r="9" customFormat="false" ht="19.5" hidden="false" customHeight="true" outlineLevel="0" collapsed="false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customFormat="false" ht="27.75" hidden="false" customHeight="true" outlineLevel="0" collapsed="false">
      <c r="A10" s="56" t="s">
        <v>172</v>
      </c>
      <c r="B10" s="56"/>
      <c r="C10" s="56"/>
      <c r="D10" s="56"/>
      <c r="E10" s="56"/>
      <c r="F10" s="56"/>
      <c r="G10" s="26"/>
      <c r="H10" s="26"/>
      <c r="I10" s="26"/>
      <c r="J10" s="26"/>
      <c r="K10" s="26"/>
    </row>
    <row r="11" customFormat="false" ht="27.75" hidden="false" customHeight="true" outlineLevel="0" collapsed="false">
      <c r="A11" s="32" t="s">
        <v>3</v>
      </c>
      <c r="B11" s="32" t="s">
        <v>173</v>
      </c>
      <c r="C11" s="32" t="s">
        <v>174</v>
      </c>
      <c r="D11" s="32" t="s">
        <v>175</v>
      </c>
      <c r="E11" s="32" t="s">
        <v>166</v>
      </c>
      <c r="F11" s="32" t="s">
        <v>167</v>
      </c>
      <c r="G11" s="26"/>
      <c r="H11" s="26"/>
      <c r="I11" s="26"/>
      <c r="J11" s="26"/>
      <c r="K11" s="26"/>
    </row>
    <row r="12" customFormat="false" ht="19.5" hidden="false" customHeight="true" outlineLevel="0" collapsed="false">
      <c r="A12" s="61" t="s">
        <v>176</v>
      </c>
      <c r="B12" s="104" t="n">
        <v>0</v>
      </c>
      <c r="C12" s="105" t="n">
        <f aca="false">SUMIF('🛒 Ventas del Día'!D$4:D$107,"Almendras 100g",'🛒 Ventas del Día'!F$4:F$107)*0.1+SUMIF('🛒 Ventas del Día'!D$4:D$107,"Almendras 250g",'🛒 Ventas del Día'!F$4:F$107)*0.25+SUMIF('🛒 Ventas del Día'!D$4:D$107,"Almendras 500g",'🛒 Ventas del Día'!F$4:F$107)*0.5+SUMIF('🛒 Ventas del Día'!D$4:D$107,"Almendras 1kg",'🛒 Ventas del Día'!F$4:F$107)*1</f>
        <v>0.1</v>
      </c>
      <c r="D12" s="106" t="n">
        <f aca="false">B12-C12</f>
        <v>-0.1</v>
      </c>
      <c r="E12" s="107" t="n">
        <v>0</v>
      </c>
      <c r="F12" s="108" t="str">
        <f aca="false">IF(D12&lt;=0,"❌ SIN STOCK",IF(D12&lt;=E12,"⚠️ STOCK BAJO","✅ OK"))</f>
        <v>❌ SIN STOCK</v>
      </c>
      <c r="G12" s="26"/>
      <c r="H12" s="26"/>
      <c r="I12" s="26"/>
      <c r="J12" s="26"/>
      <c r="K12" s="26"/>
    </row>
    <row r="13" customFormat="false" ht="19.5" hidden="false" customHeight="true" outlineLevel="0" collapsed="false">
      <c r="A13" s="57" t="s">
        <v>177</v>
      </c>
      <c r="B13" s="109" t="n">
        <v>0</v>
      </c>
      <c r="C13" s="110" t="n">
        <f aca="false">SUMIF('🛒 Ventas del Día'!D$4:D$107,"Castaña de Cajú 100g",'🛒 Ventas del Día'!F$4:F$107)*0.1+SUMIF('🛒 Ventas del Día'!D$4:D$107,"Castaña de Cajú 250g",'🛒 Ventas del Día'!F$4:F$107)*0.25+SUMIF('🛒 Ventas del Día'!D$4:D$107,"Castaña de Cajú 500g",'🛒 Ventas del Día'!F$4:F$107)*0.5+SUMIF('🛒 Ventas del Día'!D$4:D$107,"Castaña de Cajú 1kg",'🛒 Ventas del Día'!F$4:F$107)*1</f>
        <v>0.375</v>
      </c>
      <c r="D13" s="111" t="n">
        <f aca="false">B13-C13</f>
        <v>-0.375</v>
      </c>
      <c r="E13" s="112" t="n">
        <v>0</v>
      </c>
      <c r="F13" s="113" t="str">
        <f aca="false">IF(D13&lt;=0,"❌ SIN STOCK",IF(D13&lt;=E13,"⚠️ STOCK BAJO","✅ OK"))</f>
        <v>❌ SIN STOCK</v>
      </c>
      <c r="G13" s="26"/>
      <c r="H13" s="26"/>
      <c r="I13" s="26"/>
      <c r="J13" s="26"/>
      <c r="K13" s="26"/>
    </row>
    <row r="14" customFormat="false" ht="19.5" hidden="false" customHeight="true" outlineLevel="0" collapsed="false">
      <c r="A14" s="61" t="s">
        <v>178</v>
      </c>
      <c r="B14" s="104" t="n">
        <v>0</v>
      </c>
      <c r="C14" s="105" t="n">
        <f aca="false">SUMIF('🛒 Ventas del Día'!D$4:D$107,"Maní sin Sal 100g",'🛒 Ventas del Día'!F$4:F$107)*0.1+SUMIF('🛒 Ventas del Día'!D$4:D$107,"Maní sin Sal 250g",'🛒 Ventas del Día'!F$4:F$107)*0.25+SUMIF('🛒 Ventas del Día'!D$4:D$107,"Maní sin Sal 500g",'🛒 Ventas del Día'!F$4:F$107)*0.5+SUMIF('🛒 Ventas del Día'!D$4:D$107,"Maní sin Sal 1kg",'🛒 Ventas del Día'!F$4:F$107)*1</f>
        <v>1.6</v>
      </c>
      <c r="D14" s="106" t="n">
        <f aca="false">B14-C14</f>
        <v>-1.6</v>
      </c>
      <c r="E14" s="107" t="n">
        <v>0</v>
      </c>
      <c r="F14" s="108" t="str">
        <f aca="false">IF(D14&lt;=0,"❌ SIN STOCK",IF(D14&lt;=E14,"⚠️ STOCK BAJO","✅ OK"))</f>
        <v>❌ SIN STOCK</v>
      </c>
      <c r="G14" s="26"/>
      <c r="H14" s="26"/>
      <c r="I14" s="26"/>
      <c r="J14" s="26"/>
      <c r="K14" s="26"/>
    </row>
    <row r="15" customFormat="false" ht="19.5" hidden="false" customHeight="true" outlineLevel="0" collapsed="false">
      <c r="A15" s="57" t="s">
        <v>179</v>
      </c>
      <c r="B15" s="109" t="n">
        <v>0</v>
      </c>
      <c r="C15" s="110" t="n">
        <f aca="false">SUMIF('🛒 Ventas del Día'!D$4:D$107,"Mix Regodión 100g",'🛒 Ventas del Día'!F$4:F$107)*0.1+SUMIF('🛒 Ventas del Día'!D$4:D$107,"Mix Regodión 250g",'🛒 Ventas del Día'!F$4:F$107)*0.25+SUMIF('🛒 Ventas del Día'!D$4:D$107,"Mix Regodión 500g",'🛒 Ventas del Día'!F$4:F$107)*0.5+SUMIF('🛒 Ventas del Día'!D$4:D$107,"Mix Regodión 1kg",'🛒 Ventas del Día'!F$4:F$107)*1</f>
        <v>0.65</v>
      </c>
      <c r="D15" s="111" t="n">
        <f aca="false">B15-C15</f>
        <v>-0.65</v>
      </c>
      <c r="E15" s="112" t="n">
        <v>0</v>
      </c>
      <c r="F15" s="113" t="str">
        <f aca="false">IF(D15&lt;=0,"❌ SIN STOCK",IF(D15&lt;=E15,"⚠️ STOCK BAJO","✅ OK"))</f>
        <v>❌ SIN STOCK</v>
      </c>
      <c r="G15" s="26"/>
      <c r="H15" s="26"/>
      <c r="I15" s="26"/>
      <c r="J15" s="26"/>
      <c r="K15" s="26"/>
    </row>
    <row r="16" customFormat="false" ht="19.5" hidden="false" customHeight="true" outlineLevel="0" collapsed="false">
      <c r="A16" s="61" t="s">
        <v>180</v>
      </c>
      <c r="B16" s="104" t="n">
        <v>0</v>
      </c>
      <c r="C16" s="105" t="n">
        <f aca="false">SUMIF('🛒 Ventas del Día'!D$4:D$107,"Nueces 100g",'🛒 Ventas del Día'!F$4:F$107)*0.1+SUMIF('🛒 Ventas del Día'!D$4:D$107,"Nueces 250g",'🛒 Ventas del Día'!F$4:F$107)*0.25+SUMIF('🛒 Ventas del Día'!D$4:D$107,"Nueces 500g",'🛒 Ventas del Día'!F$4:F$107)*0.5+SUMIF('🛒 Ventas del Día'!D$4:D$107,"Nueces 1kg",'🛒 Ventas del Día'!F$4:F$107)*1</f>
        <v>0.42</v>
      </c>
      <c r="D16" s="106" t="n">
        <f aca="false">B16-C16</f>
        <v>-0.42</v>
      </c>
      <c r="E16" s="107" t="n">
        <v>0</v>
      </c>
      <c r="F16" s="108" t="str">
        <f aca="false">IF(D16&lt;=0,"❌ SIN STOCK",IF(D16&lt;=E16,"⚠️ STOCK BAJO","✅ OK"))</f>
        <v>❌ SIN STOCK</v>
      </c>
      <c r="G16" s="26"/>
      <c r="H16" s="26"/>
      <c r="I16" s="26"/>
      <c r="J16" s="26"/>
      <c r="K16" s="26"/>
    </row>
    <row r="17" customFormat="false" ht="19.5" hidden="false" customHeight="true" outlineLevel="0" collapsed="false">
      <c r="A17" s="57" t="s">
        <v>181</v>
      </c>
      <c r="B17" s="109" t="n">
        <v>0</v>
      </c>
      <c r="C17" s="110" t="n">
        <f aca="false">SUMIF('🛒 Ventas del Día'!D$4:D$107,"Semilla de Zapallo 100g",'🛒 Ventas del Día'!F$4:F$107)*0.1+SUMIF('🛒 Ventas del Día'!D$4:D$107,"Semilla de Zapallo 250g",'🛒 Ventas del Día'!F$4:F$107)*0.25+SUMIF('🛒 Ventas del Día'!D$4:D$107,"Semilla de Zapallo 500g",'🛒 Ventas del Día'!F$4:F$107)*0.5+SUMIF('🛒 Ventas del Día'!D$4:D$107,"Semilla de Zapallo 1kg",'🛒 Ventas del Día'!F$4:F$107)*1</f>
        <v>0</v>
      </c>
      <c r="D17" s="111" t="n">
        <f aca="false">B17-C17</f>
        <v>0</v>
      </c>
      <c r="E17" s="112" t="n">
        <v>0</v>
      </c>
      <c r="F17" s="113" t="str">
        <f aca="false">IF(D17&lt;=0,"❌ SIN STOCK",IF(D17&lt;=E17,"⚠️ STOCK BAJO","✅ OK"))</f>
        <v>❌ SIN STOCK</v>
      </c>
      <c r="G17" s="26"/>
      <c r="H17" s="26"/>
      <c r="I17" s="26"/>
      <c r="J17" s="26"/>
      <c r="K17" s="26"/>
    </row>
    <row r="18" customFormat="false" ht="19.5" hidden="false" customHeight="tru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7.75" hidden="false" customHeight="true" outlineLevel="0" collapsed="false">
      <c r="A19" s="56" t="s">
        <v>182</v>
      </c>
      <c r="B19" s="56"/>
      <c r="C19" s="56"/>
      <c r="D19" s="56"/>
      <c r="E19" s="56"/>
      <c r="F19" s="56"/>
      <c r="G19" s="56"/>
      <c r="H19" s="26"/>
      <c r="I19" s="26"/>
      <c r="J19" s="26"/>
      <c r="K19" s="26"/>
    </row>
    <row r="20" customFormat="false" ht="21.75" hidden="false" customHeight="true" outlineLevel="0" collapsed="false">
      <c r="A20" s="4" t="s">
        <v>3</v>
      </c>
      <c r="B20" s="4" t="s">
        <v>4</v>
      </c>
      <c r="C20" s="4" t="s">
        <v>183</v>
      </c>
      <c r="D20" s="4" t="s">
        <v>164</v>
      </c>
      <c r="E20" s="4" t="s">
        <v>184</v>
      </c>
      <c r="F20" s="4" t="s">
        <v>166</v>
      </c>
      <c r="G20" s="4" t="s">
        <v>167</v>
      </c>
      <c r="H20" s="26"/>
      <c r="I20" s="26"/>
      <c r="J20" s="26"/>
      <c r="K20" s="26"/>
    </row>
    <row r="21" customFormat="false" ht="19.5" hidden="false" customHeight="true" outlineLevel="0" collapsed="false">
      <c r="A21" s="16" t="s">
        <v>10</v>
      </c>
      <c r="B21" s="46" t="s">
        <v>11</v>
      </c>
      <c r="C21" s="114" t="n">
        <v>0</v>
      </c>
      <c r="D21" s="115" t="n">
        <f aca="false">IFERROR(SUMIF('🛒 Ventas del Día'!D$4:D$107,A21,'🛒 Ventas del Día'!F$4:F$107),0)</f>
        <v>1</v>
      </c>
      <c r="E21" s="116" t="n">
        <f aca="false">C21-D21</f>
        <v>-1</v>
      </c>
      <c r="F21" s="96" t="n">
        <v>0</v>
      </c>
      <c r="G21" s="113" t="str">
        <f aca="false">IF(E21&lt;=0,"❌ SIN STOCK",IF(E21&lt;=F21,"⚠️ STOCK BAJO","✅ OK"))</f>
        <v>❌ SIN STOCK</v>
      </c>
      <c r="H21" s="26"/>
      <c r="I21" s="26"/>
      <c r="J21" s="26"/>
      <c r="K21" s="26"/>
    </row>
    <row r="22" customFormat="false" ht="19.5" hidden="false" customHeight="true" outlineLevel="0" collapsed="false">
      <c r="A22" s="22" t="s">
        <v>13</v>
      </c>
      <c r="B22" s="40" t="s">
        <v>11</v>
      </c>
      <c r="C22" s="117" t="n">
        <v>0</v>
      </c>
      <c r="D22" s="118" t="n">
        <f aca="false">IFERROR(SUMIF('🛒 Ventas del Día'!D$4:D$107,A22,'🛒 Ventas del Día'!F$4:F$107),0)</f>
        <v>0</v>
      </c>
      <c r="E22" s="119" t="n">
        <f aca="false">C22-D22</f>
        <v>0</v>
      </c>
      <c r="F22" s="102" t="n">
        <v>0</v>
      </c>
      <c r="G22" s="108" t="str">
        <f aca="false">IF(E22&lt;=0,"❌ SIN STOCK",IF(E22&lt;=F22,"⚠️ STOCK BAJO","✅ OK"))</f>
        <v>❌ SIN STOCK</v>
      </c>
      <c r="H22" s="26"/>
      <c r="I22" s="26"/>
      <c r="J22" s="26"/>
      <c r="K22" s="26"/>
    </row>
    <row r="23" customFormat="false" ht="19.5" hidden="false" customHeight="true" outlineLevel="0" collapsed="false">
      <c r="A23" s="16" t="s">
        <v>15</v>
      </c>
      <c r="B23" s="46" t="s">
        <v>11</v>
      </c>
      <c r="C23" s="114" t="n">
        <v>0</v>
      </c>
      <c r="D23" s="115" t="n">
        <f aca="false">IFERROR(SUMIF('🛒 Ventas del Día'!D$4:D$107,A23,'🛒 Ventas del Día'!F$4:F$107),0)</f>
        <v>0</v>
      </c>
      <c r="E23" s="116" t="n">
        <f aca="false">C23-D23</f>
        <v>0</v>
      </c>
      <c r="F23" s="96" t="n">
        <v>0</v>
      </c>
      <c r="G23" s="113" t="str">
        <f aca="false">IF(E23&lt;=0,"❌ SIN STOCK",IF(E23&lt;=F23,"⚠️ STOCK BAJO","✅ OK"))</f>
        <v>❌ SIN STOCK</v>
      </c>
      <c r="H23" s="26"/>
      <c r="I23" s="26"/>
      <c r="J23" s="26"/>
      <c r="K23" s="26"/>
    </row>
    <row r="24" customFormat="false" ht="19.5" hidden="false" customHeight="true" outlineLevel="0" collapsed="false">
      <c r="A24" s="22" t="s">
        <v>16</v>
      </c>
      <c r="B24" s="40" t="s">
        <v>11</v>
      </c>
      <c r="C24" s="117" t="n">
        <v>0</v>
      </c>
      <c r="D24" s="118" t="n">
        <f aca="false">IFERROR(SUMIF('🛒 Ventas del Día'!D$4:D$107,A24,'🛒 Ventas del Día'!F$4:F$107),0)</f>
        <v>0</v>
      </c>
      <c r="E24" s="119" t="n">
        <f aca="false">C24-D24</f>
        <v>0</v>
      </c>
      <c r="F24" s="102" t="n">
        <v>0</v>
      </c>
      <c r="G24" s="108" t="str">
        <f aca="false">IF(E24&lt;=0,"❌ SIN STOCK",IF(E24&lt;=F24,"⚠️ STOCK BAJO","✅ OK"))</f>
        <v>❌ SIN STOCK</v>
      </c>
      <c r="H24" s="26"/>
      <c r="I24" s="26"/>
      <c r="J24" s="26"/>
      <c r="K24" s="26"/>
    </row>
    <row r="25" customFormat="false" ht="19.5" hidden="false" customHeight="true" outlineLevel="0" collapsed="false">
      <c r="A25" s="16" t="s">
        <v>17</v>
      </c>
      <c r="B25" s="46" t="s">
        <v>11</v>
      </c>
      <c r="C25" s="114" t="n">
        <v>0</v>
      </c>
      <c r="D25" s="115" t="n">
        <f aca="false">IFERROR(SUMIF('🛒 Ventas del Día'!D$4:D$107,A25,'🛒 Ventas del Día'!F$4:F$107),0)</f>
        <v>0</v>
      </c>
      <c r="E25" s="116" t="n">
        <f aca="false">C25-D25</f>
        <v>0</v>
      </c>
      <c r="F25" s="96" t="n">
        <v>0</v>
      </c>
      <c r="G25" s="113" t="str">
        <f aca="false">IF(E25&lt;=0,"❌ SIN STOCK",IF(E25&lt;=F25,"⚠️ STOCK BAJO","✅ OK"))</f>
        <v>❌ SIN STOCK</v>
      </c>
      <c r="H25" s="26"/>
      <c r="I25" s="26"/>
      <c r="J25" s="26"/>
      <c r="K25" s="26"/>
    </row>
    <row r="26" customFormat="false" ht="19.5" hidden="false" customHeight="true" outlineLevel="0" collapsed="false">
      <c r="A26" s="22" t="s">
        <v>18</v>
      </c>
      <c r="B26" s="40" t="s">
        <v>11</v>
      </c>
      <c r="C26" s="117" t="n">
        <v>0</v>
      </c>
      <c r="D26" s="118" t="n">
        <f aca="false">IFERROR(SUMIF('🛒 Ventas del Día'!D$4:D$107,A26,'🛒 Ventas del Día'!F$4:F$107),0)</f>
        <v>1</v>
      </c>
      <c r="E26" s="119" t="n">
        <f aca="false">C26-D26</f>
        <v>-1</v>
      </c>
      <c r="F26" s="102" t="n">
        <v>0</v>
      </c>
      <c r="G26" s="108" t="str">
        <f aca="false">IF(E26&lt;=0,"❌ SIN STOCK",IF(E26&lt;=F26,"⚠️ STOCK BAJO","✅ OK"))</f>
        <v>❌ SIN STOCK</v>
      </c>
      <c r="H26" s="26"/>
      <c r="I26" s="26"/>
      <c r="J26" s="26"/>
      <c r="K26" s="26"/>
    </row>
    <row r="27" customFormat="false" ht="19.5" hidden="false" customHeight="true" outlineLevel="0" collapsed="false">
      <c r="A27" s="16" t="s">
        <v>20</v>
      </c>
      <c r="B27" s="46" t="s">
        <v>11</v>
      </c>
      <c r="C27" s="114" t="n">
        <v>0</v>
      </c>
      <c r="D27" s="115" t="n">
        <f aca="false">IFERROR(SUMIF('🛒 Ventas del Día'!D$4:D$107,A27,'🛒 Ventas del Día'!F$4:F$107),0)</f>
        <v>0</v>
      </c>
      <c r="E27" s="116" t="n">
        <f aca="false">C27-D27</f>
        <v>0</v>
      </c>
      <c r="F27" s="96" t="n">
        <v>0</v>
      </c>
      <c r="G27" s="113" t="str">
        <f aca="false">IF(E27&lt;=0,"❌ SIN STOCK",IF(E27&lt;=F27,"⚠️ STOCK BAJO","✅ OK"))</f>
        <v>❌ SIN STOCK</v>
      </c>
      <c r="H27" s="26"/>
      <c r="I27" s="26"/>
      <c r="J27" s="26"/>
      <c r="K27" s="26"/>
    </row>
    <row r="28" customFormat="false" ht="19.5" hidden="false" customHeight="true" outlineLevel="0" collapsed="false">
      <c r="A28" s="22" t="s">
        <v>21</v>
      </c>
      <c r="B28" s="40" t="s">
        <v>11</v>
      </c>
      <c r="C28" s="117" t="n">
        <v>0</v>
      </c>
      <c r="D28" s="118" t="n">
        <f aca="false">IFERROR(SUMIF('🛒 Ventas del Día'!D$4:D$107,A28,'🛒 Ventas del Día'!F$4:F$107),0)</f>
        <v>0</v>
      </c>
      <c r="E28" s="119" t="n">
        <f aca="false">C28-D28</f>
        <v>0</v>
      </c>
      <c r="F28" s="102" t="n">
        <v>0</v>
      </c>
      <c r="G28" s="108" t="str">
        <f aca="false">IF(E28&lt;=0,"❌ SIN STOCK",IF(E28&lt;=F28,"⚠️ STOCK BAJO","✅ OK"))</f>
        <v>❌ SIN STOCK</v>
      </c>
      <c r="H28" s="26"/>
      <c r="I28" s="26"/>
      <c r="J28" s="26"/>
      <c r="K28" s="26"/>
    </row>
    <row r="29" customFormat="false" ht="19.5" hidden="false" customHeight="true" outlineLevel="0" collapsed="false">
      <c r="A29" s="16" t="s">
        <v>22</v>
      </c>
      <c r="B29" s="46" t="s">
        <v>11</v>
      </c>
      <c r="C29" s="114" t="n">
        <v>0</v>
      </c>
      <c r="D29" s="115" t="n">
        <f aca="false">IFERROR(SUMIF('🛒 Ventas del Día'!D$4:D$107,A29,'🛒 Ventas del Día'!F$4:F$107),0)</f>
        <v>0</v>
      </c>
      <c r="E29" s="116" t="n">
        <f aca="false">C29-D29</f>
        <v>0</v>
      </c>
      <c r="F29" s="96" t="n">
        <v>0</v>
      </c>
      <c r="G29" s="113" t="str">
        <f aca="false">IF(E29&lt;=0,"❌ SIN STOCK",IF(E29&lt;=F29,"⚠️ STOCK BAJO","✅ OK"))</f>
        <v>❌ SIN STOCK</v>
      </c>
      <c r="H29" s="26"/>
      <c r="I29" s="26"/>
      <c r="J29" s="26"/>
      <c r="K29" s="26"/>
    </row>
    <row r="30" customFormat="false" ht="19.5" hidden="false" customHeight="true" outlineLevel="0" collapsed="false">
      <c r="A30" s="22" t="s">
        <v>23</v>
      </c>
      <c r="B30" s="40" t="s">
        <v>24</v>
      </c>
      <c r="C30" s="117" t="n">
        <v>0</v>
      </c>
      <c r="D30" s="118" t="n">
        <f aca="false">IFERROR(SUMIF('🛒 Ventas del Día'!D$4:D$107,A30,'🛒 Ventas del Día'!F$4:F$107),0)</f>
        <v>0</v>
      </c>
      <c r="E30" s="119" t="n">
        <f aca="false">C30-D30</f>
        <v>0</v>
      </c>
      <c r="F30" s="102" t="n">
        <v>0</v>
      </c>
      <c r="G30" s="108" t="str">
        <f aca="false">IF(E30&lt;=0,"❌ SIN STOCK",IF(E30&lt;=F30,"⚠️ STOCK BAJO","✅ OK"))</f>
        <v>❌ SIN STOCK</v>
      </c>
      <c r="H30" s="26"/>
      <c r="I30" s="26"/>
      <c r="J30" s="26"/>
      <c r="K30" s="26"/>
    </row>
    <row r="31" customFormat="false" ht="19.5" hidden="false" customHeight="true" outlineLevel="0" collapsed="false">
      <c r="A31" s="16" t="s">
        <v>26</v>
      </c>
      <c r="B31" s="46" t="s">
        <v>24</v>
      </c>
      <c r="C31" s="114" t="n">
        <v>0</v>
      </c>
      <c r="D31" s="115" t="n">
        <f aca="false">IFERROR(SUMIF('🛒 Ventas del Día'!D$4:D$107,A31,'🛒 Ventas del Día'!F$4:F$107),0)</f>
        <v>0</v>
      </c>
      <c r="E31" s="116" t="n">
        <f aca="false">C31-D31</f>
        <v>0</v>
      </c>
      <c r="F31" s="96" t="n">
        <v>0</v>
      </c>
      <c r="G31" s="113" t="str">
        <f aca="false">IF(E31&lt;=0,"❌ SIN STOCK",IF(E31&lt;=F31,"⚠️ STOCK BAJO","✅ OK"))</f>
        <v>❌ SIN STOCK</v>
      </c>
      <c r="H31" s="26"/>
      <c r="I31" s="26"/>
      <c r="J31" s="26"/>
      <c r="K31" s="26"/>
    </row>
    <row r="32" customFormat="false" ht="19.5" hidden="false" customHeight="true" outlineLevel="0" collapsed="false">
      <c r="A32" s="22" t="s">
        <v>27</v>
      </c>
      <c r="B32" s="40" t="s">
        <v>24</v>
      </c>
      <c r="C32" s="117" t="n">
        <v>0</v>
      </c>
      <c r="D32" s="118" t="n">
        <f aca="false">IFERROR(SUMIF('🛒 Ventas del Día'!D$4:D$107,A32,'🛒 Ventas del Día'!F$4:F$107),0)</f>
        <v>0</v>
      </c>
      <c r="E32" s="119" t="n">
        <f aca="false">C32-D32</f>
        <v>0</v>
      </c>
      <c r="F32" s="102" t="n">
        <v>0</v>
      </c>
      <c r="G32" s="108" t="str">
        <f aca="false">IF(E32&lt;=0,"❌ SIN STOCK",IF(E32&lt;=F32,"⚠️ STOCK BAJO","✅ OK"))</f>
        <v>❌ SIN STOCK</v>
      </c>
      <c r="H32" s="26"/>
      <c r="I32" s="26"/>
      <c r="J32" s="26"/>
      <c r="K32" s="26"/>
    </row>
    <row r="33" customFormat="false" ht="19.5" hidden="false" customHeight="true" outlineLevel="0" collapsed="false">
      <c r="A33" s="16" t="s">
        <v>28</v>
      </c>
      <c r="B33" s="46" t="s">
        <v>24</v>
      </c>
      <c r="C33" s="114" t="n">
        <v>0</v>
      </c>
      <c r="D33" s="115" t="n">
        <f aca="false">IFERROR(SUMIF('🛒 Ventas del Día'!D$4:D$107,A33,'🛒 Ventas del Día'!F$4:F$107),0)</f>
        <v>0</v>
      </c>
      <c r="E33" s="116" t="n">
        <f aca="false">C33-D33</f>
        <v>0</v>
      </c>
      <c r="F33" s="96" t="n">
        <v>0</v>
      </c>
      <c r="G33" s="113" t="str">
        <f aca="false">IF(E33&lt;=0,"❌ SIN STOCK",IF(E33&lt;=F33,"⚠️ STOCK BAJO","✅ OK"))</f>
        <v>❌ SIN STOCK</v>
      </c>
      <c r="H33" s="26"/>
      <c r="I33" s="26"/>
      <c r="J33" s="26"/>
      <c r="K33" s="26"/>
    </row>
    <row r="34" customFormat="false" ht="19.5" hidden="false" customHeight="true" outlineLevel="0" collapsed="false">
      <c r="A34" s="22" t="s">
        <v>29</v>
      </c>
      <c r="B34" s="40" t="s">
        <v>24</v>
      </c>
      <c r="C34" s="117" t="n">
        <v>0</v>
      </c>
      <c r="D34" s="118" t="n">
        <f aca="false">IFERROR(SUMIF('🛒 Ventas del Día'!D$4:D$107,A34,'🛒 Ventas del Día'!F$4:F$107),0)</f>
        <v>0</v>
      </c>
      <c r="E34" s="119" t="n">
        <f aca="false">C34-D34</f>
        <v>0</v>
      </c>
      <c r="F34" s="102" t="n">
        <v>0</v>
      </c>
      <c r="G34" s="108" t="str">
        <f aca="false">IF(E34&lt;=0,"❌ SIN STOCK",IF(E34&lt;=F34,"⚠️ STOCK BAJO","✅ OK"))</f>
        <v>❌ SIN STOCK</v>
      </c>
      <c r="H34" s="26"/>
      <c r="I34" s="26"/>
      <c r="J34" s="26"/>
      <c r="K34" s="26"/>
    </row>
    <row r="35" customFormat="false" ht="19.5" hidden="false" customHeight="true" outlineLevel="0" collapsed="false">
      <c r="A35" s="16" t="s">
        <v>30</v>
      </c>
      <c r="B35" s="46" t="s">
        <v>24</v>
      </c>
      <c r="C35" s="114" t="n">
        <v>0</v>
      </c>
      <c r="D35" s="115" t="n">
        <f aca="false">IFERROR(SUMIF('🛒 Ventas del Día'!D$4:D$107,A35,'🛒 Ventas del Día'!F$4:F$107),0)</f>
        <v>0</v>
      </c>
      <c r="E35" s="116" t="n">
        <f aca="false">C35-D35</f>
        <v>0</v>
      </c>
      <c r="F35" s="96" t="n">
        <v>0</v>
      </c>
      <c r="G35" s="113" t="str">
        <f aca="false">IF(E35&lt;=0,"❌ SIN STOCK",IF(E35&lt;=F35,"⚠️ STOCK BAJO","✅ OK"))</f>
        <v>❌ SIN STOCK</v>
      </c>
      <c r="H35" s="26"/>
      <c r="I35" s="26"/>
      <c r="J35" s="26"/>
      <c r="K35" s="26"/>
    </row>
    <row r="36" customFormat="false" ht="19.5" hidden="false" customHeight="true" outlineLevel="0" collapsed="false">
      <c r="A36" s="22" t="s">
        <v>82</v>
      </c>
      <c r="B36" s="40" t="s">
        <v>83</v>
      </c>
      <c r="C36" s="117" t="n">
        <v>0</v>
      </c>
      <c r="D36" s="118" t="n">
        <f aca="false">IFERROR(SUMIF('🛒 Ventas del Día'!D$4:D$107,A36,'🛒 Ventas del Día'!F$4:F$107),0)</f>
        <v>1</v>
      </c>
      <c r="E36" s="119" t="n">
        <f aca="false">C36-D36</f>
        <v>-1</v>
      </c>
      <c r="F36" s="102" t="n">
        <v>0</v>
      </c>
      <c r="G36" s="108" t="str">
        <f aca="false">IF(E36&lt;=0,"❌ SIN STOCK",IF(E36&lt;=F36,"⚠️ STOCK BAJO","✅ OK"))</f>
        <v>❌ SIN STOCK</v>
      </c>
      <c r="H36" s="26"/>
      <c r="I36" s="26"/>
      <c r="J36" s="26"/>
      <c r="K36" s="26"/>
    </row>
    <row r="37" customFormat="false" ht="19.5" hidden="false" customHeight="true" outlineLevel="0" collapsed="false">
      <c r="A37" s="16" t="s">
        <v>84</v>
      </c>
      <c r="B37" s="46" t="s">
        <v>83</v>
      </c>
      <c r="C37" s="114" t="n">
        <v>0</v>
      </c>
      <c r="D37" s="115" t="n">
        <f aca="false">IFERROR(SUMIF('🛒 Ventas del Día'!D$4:D$107,A37,'🛒 Ventas del Día'!F$4:F$107),0)</f>
        <v>1</v>
      </c>
      <c r="E37" s="116" t="n">
        <f aca="false">C37-D37</f>
        <v>-1</v>
      </c>
      <c r="F37" s="96" t="n">
        <v>0</v>
      </c>
      <c r="G37" s="113" t="str">
        <f aca="false">IF(E37&lt;=0,"❌ SIN STOCK",IF(E37&lt;=F37,"⚠️ STOCK BAJO","✅ OK"))</f>
        <v>❌ SIN STOCK</v>
      </c>
      <c r="H37" s="26"/>
      <c r="I37" s="26"/>
      <c r="J37" s="26"/>
      <c r="K37" s="26"/>
    </row>
    <row r="38" customFormat="false" ht="19.5" hidden="false" customHeight="true" outlineLevel="0" collapsed="false">
      <c r="A38" s="22" t="s">
        <v>85</v>
      </c>
      <c r="B38" s="40" t="s">
        <v>83</v>
      </c>
      <c r="C38" s="117" t="n">
        <v>0</v>
      </c>
      <c r="D38" s="118" t="n">
        <f aca="false">IFERROR(SUMIF('🛒 Ventas del Día'!D$4:D$107,A38,'🛒 Ventas del Día'!F$4:F$107),0)</f>
        <v>0</v>
      </c>
      <c r="E38" s="119" t="n">
        <f aca="false">C38-D38</f>
        <v>0</v>
      </c>
      <c r="F38" s="102" t="n">
        <v>0</v>
      </c>
      <c r="G38" s="108" t="str">
        <f aca="false">IF(E38&lt;=0,"❌ SIN STOCK",IF(E38&lt;=F38,"⚠️ STOCK BAJO","✅ OK"))</f>
        <v>❌ SIN STOCK</v>
      </c>
      <c r="H38" s="26"/>
      <c r="I38" s="26"/>
      <c r="J38" s="26"/>
      <c r="K38" s="26"/>
    </row>
    <row r="39" customFormat="false" ht="19.5" hidden="false" customHeight="true" outlineLevel="0" collapsed="false">
      <c r="A39" s="16" t="s">
        <v>86</v>
      </c>
      <c r="B39" s="46" t="s">
        <v>87</v>
      </c>
      <c r="C39" s="114" t="n">
        <v>0</v>
      </c>
      <c r="D39" s="115" t="n">
        <f aca="false">IFERROR(SUMIF('🛒 Ventas del Día'!D$4:D$107,A39,'🛒 Ventas del Día'!F$4:F$107),0)</f>
        <v>1</v>
      </c>
      <c r="E39" s="116" t="n">
        <f aca="false">C39-D39</f>
        <v>-1</v>
      </c>
      <c r="F39" s="96" t="n">
        <v>0</v>
      </c>
      <c r="G39" s="113" t="str">
        <f aca="false">IF(E39&lt;=0,"❌ SIN STOCK",IF(E39&lt;=F39,"⚠️ STOCK BAJO","✅ OK"))</f>
        <v>❌ SIN STOCK</v>
      </c>
      <c r="H39" s="26"/>
      <c r="I39" s="26"/>
      <c r="J39" s="26"/>
      <c r="K39" s="26"/>
    </row>
    <row r="40" customFormat="false" ht="19.5" hidden="false" customHeight="true" outlineLevel="0" collapsed="false">
      <c r="A40" s="22" t="s">
        <v>88</v>
      </c>
      <c r="B40" s="40" t="s">
        <v>87</v>
      </c>
      <c r="C40" s="117" t="n">
        <v>0</v>
      </c>
      <c r="D40" s="118" t="n">
        <f aca="false">IFERROR(SUMIF('🛒 Ventas del Día'!D$4:D$107,A40,'🛒 Ventas del Día'!F$4:F$107),0)</f>
        <v>0</v>
      </c>
      <c r="E40" s="119" t="n">
        <f aca="false">C40-D40</f>
        <v>0</v>
      </c>
      <c r="F40" s="102" t="n">
        <v>0</v>
      </c>
      <c r="G40" s="108" t="str">
        <f aca="false">IF(E40&lt;=0,"❌ SIN STOCK",IF(E40&lt;=F40,"⚠️ STOCK BAJO","✅ OK"))</f>
        <v>❌ SIN STOCK</v>
      </c>
      <c r="H40" s="26"/>
      <c r="I40" s="26"/>
      <c r="J40" s="26"/>
      <c r="K40" s="26"/>
    </row>
    <row r="41" customFormat="false" ht="19.5" hidden="false" customHeight="true" outlineLevel="0" collapsed="false">
      <c r="A41" s="16" t="s">
        <v>89</v>
      </c>
      <c r="B41" s="46" t="s">
        <v>87</v>
      </c>
      <c r="C41" s="114" t="n">
        <v>0</v>
      </c>
      <c r="D41" s="115" t="n">
        <f aca="false">IFERROR(SUMIF('🛒 Ventas del Día'!D$4:D$107,A41,'🛒 Ventas del Día'!F$4:F$107),0)</f>
        <v>0</v>
      </c>
      <c r="E41" s="116" t="n">
        <f aca="false">C41-D41</f>
        <v>0</v>
      </c>
      <c r="F41" s="96" t="n">
        <v>0</v>
      </c>
      <c r="G41" s="113" t="str">
        <f aca="false">IF(E41&lt;=0,"❌ SIN STOCK",IF(E41&lt;=F41,"⚠️ STOCK BAJO","✅ OK"))</f>
        <v>❌ SIN STOCK</v>
      </c>
      <c r="H41" s="26"/>
      <c r="I41" s="26"/>
      <c r="J41" s="26"/>
      <c r="K41" s="26"/>
    </row>
    <row r="42" customFormat="false" ht="19.5" hidden="false" customHeight="true" outlineLevel="0" collapsed="false">
      <c r="A42" s="22" t="s">
        <v>90</v>
      </c>
      <c r="B42" s="40" t="s">
        <v>87</v>
      </c>
      <c r="C42" s="117" t="n">
        <v>0</v>
      </c>
      <c r="D42" s="118" t="n">
        <f aca="false">IFERROR(SUMIF('🛒 Ventas del Día'!D$4:D$107,A42,'🛒 Ventas del Día'!F$4:F$107),0)</f>
        <v>0</v>
      </c>
      <c r="E42" s="119" t="n">
        <f aca="false">C42-D42</f>
        <v>0</v>
      </c>
      <c r="F42" s="102" t="n">
        <v>0</v>
      </c>
      <c r="G42" s="108" t="str">
        <f aca="false">IF(E42&lt;=0,"❌ SIN STOCK",IF(E42&lt;=F42,"⚠️ STOCK BAJO","✅ OK"))</f>
        <v>❌ SIN STOCK</v>
      </c>
      <c r="H42" s="26"/>
      <c r="I42" s="26"/>
      <c r="J42" s="26"/>
      <c r="K42" s="26"/>
    </row>
    <row r="43" customFormat="false" ht="19.5" hidden="false" customHeight="true" outlineLevel="0" collapsed="false">
      <c r="A43" s="16" t="s">
        <v>91</v>
      </c>
      <c r="B43" s="46" t="s">
        <v>87</v>
      </c>
      <c r="C43" s="114" t="n">
        <v>0</v>
      </c>
      <c r="D43" s="115" t="n">
        <f aca="false">IFERROR(SUMIF('🛒 Ventas del Día'!D$4:D$107,A43,'🛒 Ventas del Día'!F$4:F$107),0)</f>
        <v>0</v>
      </c>
      <c r="E43" s="116" t="n">
        <f aca="false">C43-D43</f>
        <v>0</v>
      </c>
      <c r="F43" s="96" t="n">
        <v>0</v>
      </c>
      <c r="G43" s="113" t="str">
        <f aca="false">IF(E43&lt;=0,"❌ SIN STOCK",IF(E43&lt;=F43,"⚠️ STOCK BAJO","✅ OK"))</f>
        <v>❌ SIN STOCK</v>
      </c>
      <c r="H43" s="26"/>
      <c r="I43" s="26"/>
      <c r="J43" s="26"/>
      <c r="K43" s="26"/>
    </row>
    <row r="44" customFormat="false" ht="19.5" hidden="false" customHeight="true" outlineLevel="0" collapsed="false">
      <c r="A44" s="22" t="s">
        <v>92</v>
      </c>
      <c r="B44" s="40" t="s">
        <v>87</v>
      </c>
      <c r="C44" s="117" t="n">
        <v>0</v>
      </c>
      <c r="D44" s="118" t="n">
        <f aca="false">IFERROR(SUMIF('🛒 Ventas del Día'!D$4:D$107,A44,'🛒 Ventas del Día'!F$4:F$107),0)</f>
        <v>0</v>
      </c>
      <c r="E44" s="119" t="n">
        <f aca="false">C44-D44</f>
        <v>0</v>
      </c>
      <c r="F44" s="102" t="n">
        <v>0</v>
      </c>
      <c r="G44" s="108" t="str">
        <f aca="false">IF(E44&lt;=0,"❌ SIN STOCK",IF(E44&lt;=F44,"⚠️ STOCK BAJO","✅ OK"))</f>
        <v>❌ SIN STOCK</v>
      </c>
      <c r="H44" s="26"/>
      <c r="I44" s="26"/>
      <c r="J44" s="26"/>
      <c r="K44" s="26"/>
    </row>
    <row r="45" customFormat="false" ht="19.5" hidden="false" customHeight="true" outlineLevel="0" collapsed="false">
      <c r="A45" s="16" t="s">
        <v>93</v>
      </c>
      <c r="B45" s="46" t="s">
        <v>87</v>
      </c>
      <c r="C45" s="114" t="n">
        <v>0</v>
      </c>
      <c r="D45" s="115" t="n">
        <f aca="false">IFERROR(SUMIF('🛒 Ventas del Día'!D$4:D$107,A45,'🛒 Ventas del Día'!F$4:F$107),0)</f>
        <v>0</v>
      </c>
      <c r="E45" s="116" t="n">
        <f aca="false">C45-D45</f>
        <v>0</v>
      </c>
      <c r="F45" s="96" t="n">
        <v>0</v>
      </c>
      <c r="G45" s="113" t="str">
        <f aca="false">IF(E45&lt;=0,"❌ SIN STOCK",IF(E45&lt;=F45,"⚠️ STOCK BAJO","✅ OK"))</f>
        <v>❌ SIN STOCK</v>
      </c>
      <c r="H45" s="26"/>
      <c r="I45" s="26"/>
      <c r="J45" s="26"/>
      <c r="K45" s="26"/>
    </row>
    <row r="46" customFormat="false" ht="19.5" hidden="false" customHeight="true" outlineLevel="0" collapsed="false">
      <c r="A46" s="22" t="s">
        <v>94</v>
      </c>
      <c r="B46" s="40" t="s">
        <v>95</v>
      </c>
      <c r="C46" s="117" t="n">
        <v>0</v>
      </c>
      <c r="D46" s="118" t="n">
        <f aca="false">IFERROR(SUMIF('🛒 Ventas del Día'!D$4:D$107,A46,'🛒 Ventas del Día'!F$4:F$107),0)</f>
        <v>0</v>
      </c>
      <c r="E46" s="119" t="n">
        <f aca="false">C46-D46</f>
        <v>0</v>
      </c>
      <c r="F46" s="102" t="n">
        <v>0</v>
      </c>
      <c r="G46" s="108" t="str">
        <f aca="false">IF(E46&lt;=0,"❌ SIN STOCK",IF(E46&lt;=F46,"⚠️ STOCK BAJO","✅ OK"))</f>
        <v>❌ SIN STOCK</v>
      </c>
      <c r="H46" s="26"/>
      <c r="I46" s="26"/>
      <c r="J46" s="26"/>
      <c r="K46" s="26"/>
    </row>
    <row r="47" customFormat="false" ht="19.5" hidden="false" customHeight="true" outlineLevel="0" collapsed="false">
      <c r="A47" s="16" t="s">
        <v>97</v>
      </c>
      <c r="B47" s="46" t="s">
        <v>95</v>
      </c>
      <c r="C47" s="114" t="n">
        <v>0</v>
      </c>
      <c r="D47" s="115" t="n">
        <f aca="false">IFERROR(SUMIF('🛒 Ventas del Día'!D$4:D$107,A47,'🛒 Ventas del Día'!F$4:F$107),0)</f>
        <v>0</v>
      </c>
      <c r="E47" s="116" t="n">
        <f aca="false">C47-D47</f>
        <v>0</v>
      </c>
      <c r="F47" s="96" t="n">
        <v>0</v>
      </c>
      <c r="G47" s="113" t="str">
        <f aca="false">IF(E47&lt;=0,"❌ SIN STOCK",IF(E47&lt;=F47,"⚠️ STOCK BAJO","✅ OK"))</f>
        <v>❌ SIN STOCK</v>
      </c>
      <c r="H47" s="26"/>
      <c r="I47" s="26"/>
      <c r="J47" s="26"/>
      <c r="K47" s="26"/>
    </row>
    <row r="48" customFormat="false" ht="19.5" hidden="false" customHeight="true" outlineLevel="0" collapsed="false">
      <c r="A48" s="22" t="s">
        <v>99</v>
      </c>
      <c r="B48" s="40" t="s">
        <v>95</v>
      </c>
      <c r="C48" s="117" t="n">
        <v>0</v>
      </c>
      <c r="D48" s="118" t="n">
        <f aca="false">IFERROR(SUMIF('🛒 Ventas del Día'!D$4:D$107,A48,'🛒 Ventas del Día'!F$4:F$107),0)</f>
        <v>0</v>
      </c>
      <c r="E48" s="119" t="n">
        <f aca="false">C48-D48</f>
        <v>0</v>
      </c>
      <c r="F48" s="102" t="n">
        <v>0</v>
      </c>
      <c r="G48" s="108" t="str">
        <f aca="false">IF(E48&lt;=0,"❌ SIN STOCK",IF(E48&lt;=F48,"⚠️ STOCK BAJO","✅ OK"))</f>
        <v>❌ SIN STOCK</v>
      </c>
      <c r="H48" s="26"/>
      <c r="I48" s="26"/>
      <c r="J48" s="26"/>
      <c r="K48" s="26"/>
    </row>
    <row r="49" customFormat="false" ht="19.5" hidden="false" customHeight="true" outlineLevel="0" collapsed="false">
      <c r="A49" s="16" t="s">
        <v>100</v>
      </c>
      <c r="B49" s="46" t="s">
        <v>95</v>
      </c>
      <c r="C49" s="114" t="n">
        <v>0</v>
      </c>
      <c r="D49" s="115" t="n">
        <f aca="false">IFERROR(SUMIF('🛒 Ventas del Día'!D$4:D$107,A49,'🛒 Ventas del Día'!F$4:F$107),0)</f>
        <v>0</v>
      </c>
      <c r="E49" s="116" t="n">
        <f aca="false">C49-D49</f>
        <v>0</v>
      </c>
      <c r="F49" s="96" t="n">
        <v>0</v>
      </c>
      <c r="G49" s="113" t="str">
        <f aca="false">IF(E49&lt;=0,"❌ SIN STOCK",IF(E49&lt;=F49,"⚠️ STOCK BAJO","✅ OK"))</f>
        <v>❌ SIN STOCK</v>
      </c>
      <c r="H49" s="26"/>
      <c r="I49" s="26"/>
      <c r="J49" s="26"/>
      <c r="K49" s="26"/>
    </row>
    <row r="50" customFormat="false" ht="19.5" hidden="false" customHeight="true" outlineLevel="0" collapsed="false">
      <c r="A50" s="22" t="s">
        <v>101</v>
      </c>
      <c r="B50" s="40" t="s">
        <v>95</v>
      </c>
      <c r="C50" s="117" t="n">
        <v>0</v>
      </c>
      <c r="D50" s="118" t="n">
        <f aca="false">IFERROR(SUMIF('🛒 Ventas del Día'!D$4:D$107,A50,'🛒 Ventas del Día'!F$4:F$107),0)</f>
        <v>1</v>
      </c>
      <c r="E50" s="119" t="n">
        <f aca="false">C50-D50</f>
        <v>-1</v>
      </c>
      <c r="F50" s="102" t="n">
        <v>0</v>
      </c>
      <c r="G50" s="108" t="str">
        <f aca="false">IF(E50&lt;=0,"❌ SIN STOCK",IF(E50&lt;=F50,"⚠️ STOCK BAJO","✅ OK"))</f>
        <v>❌ SIN STOCK</v>
      </c>
      <c r="H50" s="26"/>
      <c r="I50" s="26"/>
      <c r="J50" s="26"/>
      <c r="K50" s="26"/>
    </row>
    <row r="51" customFormat="false" ht="19.5" hidden="false" customHeight="true" outlineLevel="0" collapsed="false">
      <c r="A51" s="16" t="s">
        <v>102</v>
      </c>
      <c r="B51" s="46" t="s">
        <v>95</v>
      </c>
      <c r="C51" s="114" t="n">
        <v>0</v>
      </c>
      <c r="D51" s="115" t="n">
        <f aca="false">IFERROR(SUMIF('🛒 Ventas del Día'!D$4:D$107,A51,'🛒 Ventas del Día'!F$4:F$107),0)</f>
        <v>1</v>
      </c>
      <c r="E51" s="116" t="n">
        <f aca="false">C51-D51</f>
        <v>-1</v>
      </c>
      <c r="F51" s="96" t="n">
        <v>0</v>
      </c>
      <c r="G51" s="113" t="str">
        <f aca="false">IF(E51&lt;=0,"❌ SIN STOCK",IF(E51&lt;=F51,"⚠️ STOCK BAJO","✅ OK"))</f>
        <v>❌ SIN STOCK</v>
      </c>
      <c r="H51" s="26"/>
      <c r="I51" s="26"/>
      <c r="J51" s="26"/>
      <c r="K51" s="26"/>
    </row>
    <row r="52" customFormat="false" ht="19.5" hidden="false" customHeight="true" outlineLevel="0" collapsed="false">
      <c r="A52" s="22" t="s">
        <v>103</v>
      </c>
      <c r="B52" s="40" t="s">
        <v>104</v>
      </c>
      <c r="C52" s="117" t="n">
        <v>0</v>
      </c>
      <c r="D52" s="118" t="n">
        <f aca="false">IFERROR(SUMIF('🛒 Ventas del Día'!D$4:D$107,A52,'🛒 Ventas del Día'!F$4:F$107),0)</f>
        <v>1</v>
      </c>
      <c r="E52" s="119" t="n">
        <f aca="false">C52-D52</f>
        <v>-1</v>
      </c>
      <c r="F52" s="102" t="n">
        <v>0</v>
      </c>
      <c r="G52" s="108" t="str">
        <f aca="false">IF(E52&lt;=0,"❌ SIN STOCK",IF(E52&lt;=F52,"⚠️ STOCK BAJO","✅ OK"))</f>
        <v>❌ SIN STOCK</v>
      </c>
      <c r="H52" s="26"/>
      <c r="I52" s="26"/>
      <c r="J52" s="26"/>
      <c r="K52" s="26"/>
    </row>
    <row r="53" customFormat="false" ht="19.5" hidden="false" customHeight="true" outlineLevel="0" collapsed="false">
      <c r="A53" s="16" t="s">
        <v>105</v>
      </c>
      <c r="B53" s="46" t="s">
        <v>104</v>
      </c>
      <c r="C53" s="114" t="n">
        <v>0</v>
      </c>
      <c r="D53" s="115" t="n">
        <f aca="false">IFERROR(SUMIF('🛒 Ventas del Día'!D$4:D$107,A53,'🛒 Ventas del Día'!F$4:F$107),0)</f>
        <v>0</v>
      </c>
      <c r="E53" s="116" t="n">
        <f aca="false">C53-D53</f>
        <v>0</v>
      </c>
      <c r="F53" s="96" t="n">
        <v>0</v>
      </c>
      <c r="G53" s="113" t="str">
        <f aca="false">IF(E53&lt;=0,"❌ SIN STOCK",IF(E53&lt;=F53,"⚠️ STOCK BAJO","✅ OK"))</f>
        <v>❌ SIN STOCK</v>
      </c>
      <c r="H53" s="26"/>
      <c r="I53" s="26"/>
      <c r="J53" s="26"/>
      <c r="K53" s="26"/>
    </row>
    <row r="54" customFormat="false" ht="19.5" hidden="false" customHeight="true" outlineLevel="0" collapsed="false">
      <c r="A54" s="22" t="s">
        <v>106</v>
      </c>
      <c r="B54" s="40" t="s">
        <v>104</v>
      </c>
      <c r="C54" s="117" t="n">
        <v>0</v>
      </c>
      <c r="D54" s="118" t="n">
        <f aca="false">IFERROR(SUMIF('🛒 Ventas del Día'!D$4:D$107,A54,'🛒 Ventas del Día'!F$4:F$107),0)</f>
        <v>1</v>
      </c>
      <c r="E54" s="119" t="n">
        <f aca="false">C54-D54</f>
        <v>-1</v>
      </c>
      <c r="F54" s="102" t="n">
        <v>0</v>
      </c>
      <c r="G54" s="108" t="str">
        <f aca="false">IF(E54&lt;=0,"❌ SIN STOCK",IF(E54&lt;=F54,"⚠️ STOCK BAJO","✅ OK"))</f>
        <v>❌ SIN STOCK</v>
      </c>
      <c r="H54" s="26"/>
      <c r="I54" s="26"/>
      <c r="J54" s="26"/>
      <c r="K54" s="26"/>
    </row>
    <row r="55" customFormat="false" ht="19.5" hidden="false" customHeight="true" outlineLevel="0" collapsed="false">
      <c r="A55" s="16" t="s">
        <v>108</v>
      </c>
      <c r="B55" s="46" t="s">
        <v>104</v>
      </c>
      <c r="C55" s="114" t="n">
        <v>0</v>
      </c>
      <c r="D55" s="115" t="n">
        <f aca="false">IFERROR(SUMIF('🛒 Ventas del Día'!D$4:D$107,A55,'🛒 Ventas del Día'!F$4:F$107),0)</f>
        <v>2</v>
      </c>
      <c r="E55" s="116" t="n">
        <f aca="false">C55-D55</f>
        <v>-2</v>
      </c>
      <c r="F55" s="96" t="n">
        <v>0</v>
      </c>
      <c r="G55" s="113" t="str">
        <f aca="false">IF(E55&lt;=0,"❌ SIN STOCK",IF(E55&lt;=F55,"⚠️ STOCK BAJO","✅ OK"))</f>
        <v>❌ SIN STOCK</v>
      </c>
      <c r="H55" s="26"/>
      <c r="I55" s="26"/>
      <c r="J55" s="26"/>
      <c r="K55" s="26"/>
    </row>
    <row r="56" customFormat="false" ht="19.5" hidden="false" customHeight="true" outlineLevel="0" collapsed="false">
      <c r="A56" s="22" t="s">
        <v>110</v>
      </c>
      <c r="B56" s="40" t="s">
        <v>104</v>
      </c>
      <c r="C56" s="117" t="n">
        <v>0</v>
      </c>
      <c r="D56" s="118" t="n">
        <f aca="false">IFERROR(SUMIF('🛒 Ventas del Día'!D$4:D$107,A56,'🛒 Ventas del Día'!F$4:F$107),0)</f>
        <v>0</v>
      </c>
      <c r="E56" s="119" t="n">
        <f aca="false">C56-D56</f>
        <v>0</v>
      </c>
      <c r="F56" s="102" t="n">
        <v>0</v>
      </c>
      <c r="G56" s="108" t="str">
        <f aca="false">IF(E56&lt;=0,"❌ SIN STOCK",IF(E56&lt;=F56,"⚠️ STOCK BAJO","✅ OK"))</f>
        <v>❌ SIN STOCK</v>
      </c>
      <c r="H56" s="26"/>
      <c r="I56" s="26"/>
      <c r="J56" s="26"/>
      <c r="K56" s="26"/>
    </row>
    <row r="57" customFormat="false" ht="19.5" hidden="false" customHeight="true" outlineLevel="0" collapsed="false">
      <c r="A57" s="16" t="s">
        <v>111</v>
      </c>
      <c r="B57" s="46" t="s">
        <v>104</v>
      </c>
      <c r="C57" s="114" t="n">
        <v>0</v>
      </c>
      <c r="D57" s="115" t="n">
        <f aca="false">IFERROR(SUMIF('🛒 Ventas del Día'!D$4:D$107,A57,'🛒 Ventas del Día'!F$4:F$107),0)</f>
        <v>0</v>
      </c>
      <c r="E57" s="116" t="n">
        <f aca="false">C57-D57</f>
        <v>0</v>
      </c>
      <c r="F57" s="96" t="n">
        <v>0</v>
      </c>
      <c r="G57" s="113" t="str">
        <f aca="false">IF(E57&lt;=0,"❌ SIN STOCK",IF(E57&lt;=F57,"⚠️ STOCK BAJO","✅ OK"))</f>
        <v>❌ SIN STOCK</v>
      </c>
      <c r="H57" s="26"/>
      <c r="I57" s="26"/>
      <c r="J57" s="26"/>
      <c r="K57" s="26"/>
    </row>
    <row r="58" customFormat="false" ht="19.5" hidden="false" customHeight="true" outlineLevel="0" collapsed="false">
      <c r="A58" s="22" t="s">
        <v>112</v>
      </c>
      <c r="B58" s="40" t="s">
        <v>104</v>
      </c>
      <c r="C58" s="117" t="n">
        <v>0</v>
      </c>
      <c r="D58" s="118" t="n">
        <f aca="false">IFERROR(SUMIF('🛒 Ventas del Día'!D$4:D$107,A58,'🛒 Ventas del Día'!F$4:F$107),0)</f>
        <v>0</v>
      </c>
      <c r="E58" s="119" t="n">
        <f aca="false">C58-D58</f>
        <v>0</v>
      </c>
      <c r="F58" s="102" t="n">
        <v>0</v>
      </c>
      <c r="G58" s="108" t="str">
        <f aca="false">IF(E58&lt;=0,"❌ SIN STOCK",IF(E58&lt;=F58,"⚠️ STOCK BAJO","✅ OK"))</f>
        <v>❌ SIN STOCK</v>
      </c>
      <c r="H58" s="26"/>
      <c r="I58" s="26"/>
      <c r="J58" s="26"/>
      <c r="K58" s="26"/>
    </row>
    <row r="59" customFormat="false" ht="19.5" hidden="false" customHeight="true" outlineLevel="0" collapsed="false">
      <c r="A59" s="16" t="s">
        <v>113</v>
      </c>
      <c r="B59" s="46" t="s">
        <v>104</v>
      </c>
      <c r="C59" s="114" t="n">
        <v>0</v>
      </c>
      <c r="D59" s="115" t="n">
        <f aca="false">IFERROR(SUMIF('🛒 Ventas del Día'!D$4:D$107,A59,'🛒 Ventas del Día'!F$4:F$107),0)</f>
        <v>1</v>
      </c>
      <c r="E59" s="116" t="n">
        <f aca="false">C59-D59</f>
        <v>-1</v>
      </c>
      <c r="F59" s="96" t="n">
        <v>0</v>
      </c>
      <c r="G59" s="113" t="str">
        <f aca="false">IF(E59&lt;=0,"❌ SIN STOCK",IF(E59&lt;=F59,"⚠️ STOCK BAJO","✅ OK"))</f>
        <v>❌ SIN STOCK</v>
      </c>
      <c r="H59" s="26"/>
      <c r="I59" s="26"/>
      <c r="J59" s="26"/>
      <c r="K59" s="26"/>
    </row>
    <row r="60" customFormat="false" ht="19.5" hidden="false" customHeight="true" outlineLevel="0" collapsed="false">
      <c r="A60" s="22" t="s">
        <v>114</v>
      </c>
      <c r="B60" s="40" t="s">
        <v>104</v>
      </c>
      <c r="C60" s="117" t="n">
        <v>0</v>
      </c>
      <c r="D60" s="118" t="n">
        <f aca="false">IFERROR(SUMIF('🛒 Ventas del Día'!D$4:D$107,A60,'🛒 Ventas del Día'!F$4:F$107),0)</f>
        <v>0</v>
      </c>
      <c r="E60" s="119" t="n">
        <f aca="false">C60-D60</f>
        <v>0</v>
      </c>
      <c r="F60" s="102" t="n">
        <v>0</v>
      </c>
      <c r="G60" s="108" t="str">
        <f aca="false">IF(E60&lt;=0,"❌ SIN STOCK",IF(E60&lt;=F60,"⚠️ STOCK BAJO","✅ OK"))</f>
        <v>❌ SIN STOCK</v>
      </c>
      <c r="H60" s="26"/>
      <c r="I60" s="26"/>
      <c r="J60" s="26"/>
      <c r="K60" s="26"/>
    </row>
    <row r="61" customFormat="false" ht="19.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customFormat="false" ht="19.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customFormat="false" ht="19.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customFormat="false" ht="19.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customFormat="false" ht="19.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customFormat="false" ht="19.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customFormat="false" ht="19.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customFormat="false" ht="19.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customFormat="false" ht="19.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customFormat="false" ht="19.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customFormat="false" ht="19.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customFormat="false" ht="19.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customFormat="false" ht="19.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customFormat="false" ht="19.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customFormat="false" ht="19.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customFormat="false" ht="14.2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customFormat="false" ht="14.2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customFormat="false" ht="14.2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customFormat="false" ht="14.2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customFormat="false" ht="14.2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customFormat="false" ht="14.2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customFormat="false" ht="14.2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customFormat="false" ht="14.2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customFormat="false" ht="14.2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customFormat="false" ht="14.2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customFormat="false" ht="14.2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customFormat="false" ht="14.2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customFormat="false" ht="14.25" hidden="false" customHeight="tru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customFormat="false" ht="14.25" hidden="false" customHeight="tru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customFormat="false" ht="14.25" hidden="false" customHeight="tru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customFormat="false" ht="14.25" hidden="false" customHeight="tru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customFormat="false" ht="14.25" hidden="false" customHeight="tru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customFormat="false" ht="14.25" hidden="false" customHeight="tru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customFormat="false" ht="14.25" hidden="false" customHeight="tru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customFormat="false" ht="14.25" hidden="false" customHeight="tru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customFormat="false" ht="14.25" hidden="false" customHeight="tru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customFormat="false" ht="14.25" hidden="false" customHeight="tru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customFormat="false" ht="14.25" hidden="false" customHeight="tru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customFormat="false" ht="14.25" hidden="false" customHeight="tru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customFormat="false" ht="14.25" hidden="false" customHeight="tru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customFormat="false" ht="14.25" hidden="false" customHeight="tru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customFormat="false" ht="14.25" hidden="false" customHeight="tru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customFormat="false" ht="14.25" hidden="false" customHeight="tru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customFormat="false" ht="14.25" hidden="false" customHeight="tru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customFormat="false" ht="14.25" hidden="false" customHeight="tru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customFormat="false" ht="14.25" hidden="false" customHeight="tru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customFormat="false" ht="14.25" hidden="false" customHeight="tru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customFormat="false" ht="14.25" hidden="false" customHeight="tru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customFormat="false" ht="14.25" hidden="false" customHeight="tru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customFormat="false" ht="14.25" hidden="false" customHeight="tru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customFormat="false" ht="14.25" hidden="false" customHeight="tru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customFormat="false" ht="14.25" hidden="false" customHeight="tru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customFormat="false" ht="14.25" hidden="false" customHeight="tru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customFormat="false" ht="14.25" hidden="false" customHeight="tru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</sheetData>
  <mergeCells count="4">
    <mergeCell ref="A1:F1"/>
    <mergeCell ref="A3:F3"/>
    <mergeCell ref="A10:F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0" ySplit="2" topLeftCell="A3" activePane="bottomLeft" state="frozen"/>
      <selection pane="topLeft" activeCell="A3" activeCellId="0" sqref="A3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3"/>
    <col collapsed="false" customWidth="true" hidden="false" outlineLevel="0" max="7" min="7" style="1" width="18"/>
    <col collapsed="false" customWidth="true" hidden="false" outlineLevel="0" max="10" min="8" style="1" width="14"/>
    <col collapsed="false" customWidth="true" hidden="false" outlineLevel="0" max="11" min="11" style="1" width="12"/>
  </cols>
  <sheetData>
    <row r="1" customFormat="false" ht="39.7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</row>
    <row r="2" customFormat="false" ht="18" hidden="false" customHeight="tru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27.75" hidden="false" customHeight="true" outlineLevel="0" collapsed="false">
      <c r="A3" s="120" t="s">
        <v>186</v>
      </c>
      <c r="B3" s="120"/>
      <c r="C3" s="121" t="s">
        <v>187</v>
      </c>
      <c r="D3" s="121"/>
      <c r="E3" s="122" t="s">
        <v>188</v>
      </c>
      <c r="F3" s="26"/>
      <c r="G3" s="123" t="s">
        <v>189</v>
      </c>
      <c r="H3" s="123"/>
      <c r="I3" s="124" t="s">
        <v>190</v>
      </c>
      <c r="J3" s="124"/>
      <c r="K3" s="125" t="s">
        <v>191</v>
      </c>
      <c r="L3" s="26"/>
      <c r="M3" s="26"/>
    </row>
    <row r="4" customFormat="false" ht="36" hidden="false" customHeight="true" outlineLevel="0" collapsed="false">
      <c r="A4" s="126" t="n">
        <f aca="false">'📊 Resumen Mensual'!C13</f>
        <v>362296.5</v>
      </c>
      <c r="B4" s="126"/>
      <c r="C4" s="127" t="n">
        <f aca="false">'📊 Resumen Mensual'!D13</f>
        <v>259025.22</v>
      </c>
      <c r="D4" s="127"/>
      <c r="E4" s="128" t="n">
        <f aca="false">'📊 Resumen Mensual'!E13</f>
        <v>103271.28</v>
      </c>
      <c r="F4" s="26"/>
      <c r="G4" s="129" t="n">
        <f aca="false">'📊 Resumen Mensual'!F13</f>
        <v>0.285046308755398</v>
      </c>
      <c r="H4" s="129"/>
      <c r="I4" s="130" t="n">
        <f aca="false">'📊 Resumen Mensual'!I47</f>
        <v>17</v>
      </c>
      <c r="J4" s="130"/>
      <c r="K4" s="131" t="n">
        <f aca="false">'📊 Resumen Mensual'!J47</f>
        <v>21576.2647058824</v>
      </c>
      <c r="L4" s="26"/>
      <c r="M4" s="26"/>
    </row>
    <row r="5" customFormat="false" ht="7.5" hidden="false" customHeight="true" outlineLevel="0" collapsed="false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25.5" hidden="false" customHeight="true" outlineLevel="0" collapsed="false">
      <c r="A6" s="56" t="s">
        <v>192</v>
      </c>
      <c r="B6" s="56"/>
      <c r="C6" s="56"/>
      <c r="D6" s="56"/>
      <c r="E6" s="56"/>
      <c r="F6" s="26"/>
      <c r="G6" s="132" t="s">
        <v>193</v>
      </c>
      <c r="H6" s="132"/>
      <c r="I6" s="132"/>
      <c r="J6" s="132"/>
      <c r="K6" s="132"/>
      <c r="L6" s="26"/>
      <c r="M6" s="26"/>
    </row>
    <row r="7" customFormat="false" ht="21.75" hidden="false" customHeight="true" outlineLevel="0" collapsed="false">
      <c r="A7" s="86" t="s">
        <v>4</v>
      </c>
      <c r="B7" s="86" t="s">
        <v>136</v>
      </c>
      <c r="C7" s="86" t="s">
        <v>124</v>
      </c>
      <c r="D7" s="86" t="s">
        <v>194</v>
      </c>
      <c r="E7" s="86" t="s">
        <v>138</v>
      </c>
      <c r="F7" s="26"/>
      <c r="G7" s="133" t="s">
        <v>195</v>
      </c>
      <c r="H7" s="133"/>
      <c r="I7" s="133"/>
      <c r="J7" s="134" t="n">
        <f aca="false">SUMIF('🛒 Ventas del Día'!J$4:J$107,"Efectivo",'🛒 Ventas del Día'!G$4:G$107)</f>
        <v>25915</v>
      </c>
      <c r="K7" s="134"/>
      <c r="L7" s="26"/>
      <c r="M7" s="26"/>
    </row>
    <row r="8" customFormat="false" ht="21.75" hidden="false" customHeight="true" outlineLevel="0" collapsed="false">
      <c r="A8" s="61" t="s">
        <v>11</v>
      </c>
      <c r="B8" s="135" t="n">
        <f aca="false">'📊 Resumen Mensual'!C5</f>
        <v>12800</v>
      </c>
      <c r="C8" s="13" t="n">
        <f aca="false">'📊 Resumen Mensual'!E5</f>
        <v>4800</v>
      </c>
      <c r="D8" s="63" t="n">
        <f aca="false">'📊 Resumen Mensual'!F5</f>
        <v>0.375</v>
      </c>
      <c r="E8" s="136" t="n">
        <f aca="false">'📊 Resumen Mensual'!G5</f>
        <v>0.0353301784588038</v>
      </c>
      <c r="F8" s="26"/>
      <c r="G8" s="137" t="s">
        <v>196</v>
      </c>
      <c r="H8" s="137"/>
      <c r="I8" s="137"/>
      <c r="J8" s="138" t="n">
        <f aca="false">SUMIF('🛒 Ventas del Día'!J$4:J$107,"Tarjeta",'🛒 Ventas del Día'!G$4:G$107)</f>
        <v>221331.5</v>
      </c>
      <c r="K8" s="138"/>
      <c r="L8" s="26"/>
      <c r="M8" s="26"/>
    </row>
    <row r="9" customFormat="false" ht="21.75" hidden="false" customHeight="true" outlineLevel="0" collapsed="false">
      <c r="A9" s="57" t="s">
        <v>24</v>
      </c>
      <c r="B9" s="139" t="n">
        <f aca="false">'📊 Resumen Mensual'!C6</f>
        <v>0</v>
      </c>
      <c r="C9" s="20" t="n">
        <f aca="false">'📊 Resumen Mensual'!E6</f>
        <v>0</v>
      </c>
      <c r="D9" s="59" t="n">
        <f aca="false">'📊 Resumen Mensual'!F6</f>
        <v>0</v>
      </c>
      <c r="E9" s="140" t="n">
        <f aca="false">'📊 Resumen Mensual'!G6</f>
        <v>0</v>
      </c>
      <c r="F9" s="26"/>
      <c r="G9" s="133" t="s">
        <v>197</v>
      </c>
      <c r="H9" s="133"/>
      <c r="I9" s="133"/>
      <c r="J9" s="141" t="n">
        <f aca="false">IFERROR(J7/(J7+J8),0)</f>
        <v>0.104814426088944</v>
      </c>
      <c r="K9" s="141"/>
      <c r="L9" s="26"/>
      <c r="M9" s="26"/>
    </row>
    <row r="10" customFormat="false" ht="21.75" hidden="false" customHeight="true" outlineLevel="0" collapsed="false">
      <c r="A10" s="61" t="s">
        <v>32</v>
      </c>
      <c r="B10" s="135" t="n">
        <f aca="false">'📊 Resumen Mensual'!C7</f>
        <v>29396.5</v>
      </c>
      <c r="C10" s="13" t="n">
        <f aca="false">'📊 Resumen Mensual'!E7</f>
        <v>10490.6</v>
      </c>
      <c r="D10" s="63" t="n">
        <f aca="false">'📊 Resumen Mensual'!F7</f>
        <v>0.356865613253278</v>
      </c>
      <c r="E10" s="136" t="n">
        <f aca="false">'📊 Resumen Mensual'!G7</f>
        <v>0.0811393430518926</v>
      </c>
      <c r="F10" s="26"/>
      <c r="G10" s="137" t="s">
        <v>198</v>
      </c>
      <c r="H10" s="137"/>
      <c r="I10" s="137"/>
      <c r="J10" s="142" t="n">
        <f aca="false">IFERROR(J8/(J7+J8),0)</f>
        <v>0.895185573911056</v>
      </c>
      <c r="K10" s="142"/>
      <c r="L10" s="26"/>
      <c r="M10" s="26"/>
    </row>
    <row r="11" customFormat="false" ht="3.75" hidden="false" customHeight="true" outlineLevel="0" collapsed="false">
      <c r="A11" s="57" t="s">
        <v>58</v>
      </c>
      <c r="B11" s="139" t="n">
        <f aca="false">'📊 Resumen Mensual'!C8</f>
        <v>262000</v>
      </c>
      <c r="C11" s="20" t="n">
        <f aca="false">'📊 Resumen Mensual'!E8</f>
        <v>62909</v>
      </c>
      <c r="D11" s="59" t="n">
        <f aca="false">'📊 Resumen Mensual'!F8</f>
        <v>0.240110687022901</v>
      </c>
      <c r="E11" s="140" t="n">
        <f aca="false">'📊 Resumen Mensual'!G8</f>
        <v>0.72316459032864</v>
      </c>
      <c r="F11" s="26"/>
      <c r="G11" s="26"/>
      <c r="H11" s="26"/>
      <c r="I11" s="26"/>
      <c r="J11" s="26"/>
      <c r="K11" s="26"/>
      <c r="L11" s="26"/>
      <c r="M11" s="26"/>
    </row>
    <row r="12" customFormat="false" ht="21.75" hidden="false" customHeight="true" outlineLevel="0" collapsed="false">
      <c r="A12" s="61" t="s">
        <v>83</v>
      </c>
      <c r="B12" s="135" t="n">
        <f aca="false">'📊 Resumen Mensual'!C9</f>
        <v>6100</v>
      </c>
      <c r="C12" s="13" t="n">
        <f aca="false">'📊 Resumen Mensual'!E9</f>
        <v>1735.48</v>
      </c>
      <c r="D12" s="63" t="n">
        <f aca="false">'📊 Resumen Mensual'!F9</f>
        <v>0.284504918032787</v>
      </c>
      <c r="E12" s="136" t="n">
        <f aca="false">'📊 Resumen Mensual'!G9</f>
        <v>0.0168370381717737</v>
      </c>
      <c r="F12" s="26"/>
      <c r="G12" s="137" t="s">
        <v>199</v>
      </c>
      <c r="H12" s="137"/>
      <c r="I12" s="137"/>
      <c r="J12" s="143" t="n">
        <f aca="false">'📊 Resumen Mensual'!I47</f>
        <v>17</v>
      </c>
      <c r="K12" s="143"/>
      <c r="L12" s="26"/>
      <c r="M12" s="26"/>
    </row>
    <row r="13" customFormat="false" ht="21.75" hidden="false" customHeight="true" outlineLevel="0" collapsed="false">
      <c r="A13" s="57" t="s">
        <v>87</v>
      </c>
      <c r="B13" s="139" t="n">
        <f aca="false">'📊 Resumen Mensual'!C10</f>
        <v>3500</v>
      </c>
      <c r="C13" s="20" t="n">
        <f aca="false">'📊 Resumen Mensual'!E10</f>
        <v>1477</v>
      </c>
      <c r="D13" s="59" t="n">
        <f aca="false">'📊 Resumen Mensual'!F10</f>
        <v>0.422</v>
      </c>
      <c r="E13" s="140" t="n">
        <f aca="false">'📊 Resumen Mensual'!G10</f>
        <v>0.00966059567232916</v>
      </c>
      <c r="F13" s="26"/>
      <c r="G13" s="133" t="s">
        <v>200</v>
      </c>
      <c r="H13" s="133"/>
      <c r="I13" s="133"/>
      <c r="J13" s="144" t="n">
        <f aca="false">'📊 Resumen Mensual'!J47</f>
        <v>21576.2647058824</v>
      </c>
      <c r="K13" s="144"/>
      <c r="L13" s="26"/>
      <c r="M13" s="26"/>
    </row>
    <row r="14" customFormat="false" ht="21.75" hidden="false" customHeight="true" outlineLevel="0" collapsed="false">
      <c r="A14" s="61" t="s">
        <v>95</v>
      </c>
      <c r="B14" s="135" t="n">
        <f aca="false">'📊 Resumen Mensual'!C11</f>
        <v>11000</v>
      </c>
      <c r="C14" s="13" t="n">
        <f aca="false">'📊 Resumen Mensual'!E11</f>
        <v>3277.2</v>
      </c>
      <c r="D14" s="63" t="n">
        <f aca="false">'📊 Resumen Mensual'!F11</f>
        <v>0.297927272727273</v>
      </c>
      <c r="E14" s="136" t="n">
        <f aca="false">'📊 Resumen Mensual'!G11</f>
        <v>0.0303618721130345</v>
      </c>
      <c r="F14" s="26"/>
      <c r="G14" s="137" t="s">
        <v>201</v>
      </c>
      <c r="H14" s="137"/>
      <c r="I14" s="137"/>
      <c r="J14" s="145" t="n">
        <f aca="false">IFERROR(MAX('🛒 Ventas del Día'!K$4:K$107),0)</f>
        <v>49000</v>
      </c>
      <c r="K14" s="145"/>
      <c r="L14" s="26"/>
      <c r="M14" s="26"/>
    </row>
    <row r="15" customFormat="false" ht="19.5" hidden="false" customHeight="true" outlineLevel="0" collapsed="false">
      <c r="A15" s="57" t="s">
        <v>104</v>
      </c>
      <c r="B15" s="139" t="n">
        <f aca="false">'📊 Resumen Mensual'!C12</f>
        <v>37500</v>
      </c>
      <c r="C15" s="20" t="n">
        <f aca="false">'📊 Resumen Mensual'!E12</f>
        <v>18582</v>
      </c>
      <c r="D15" s="59" t="n">
        <f aca="false">'📊 Resumen Mensual'!F12</f>
        <v>0.49552</v>
      </c>
      <c r="E15" s="140" t="n">
        <f aca="false">'📊 Resumen Mensual'!G12</f>
        <v>0.103506382203527</v>
      </c>
      <c r="F15" s="26"/>
      <c r="G15" s="26"/>
      <c r="H15" s="26"/>
      <c r="I15" s="26"/>
      <c r="J15" s="26"/>
      <c r="K15" s="26"/>
      <c r="L15" s="26"/>
      <c r="M15" s="26"/>
    </row>
    <row r="16" customFormat="false" ht="7.5" hidden="false" customHeight="tru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customFormat="false" ht="25.5" hidden="false" customHeight="true" outlineLevel="0" collapsed="false">
      <c r="A17" s="146" t="s">
        <v>202</v>
      </c>
      <c r="B17" s="146"/>
      <c r="C17" s="146"/>
      <c r="D17" s="146"/>
      <c r="E17" s="146"/>
      <c r="F17" s="26"/>
      <c r="G17" s="147" t="s">
        <v>203</v>
      </c>
      <c r="H17" s="147"/>
      <c r="I17" s="147"/>
      <c r="J17" s="147"/>
      <c r="K17" s="147"/>
      <c r="L17" s="26"/>
      <c r="M17" s="26"/>
    </row>
    <row r="18" customFormat="false" ht="19.5" hidden="false" customHeight="true" outlineLevel="0" collapsed="false">
      <c r="A18" s="86" t="s">
        <v>3</v>
      </c>
      <c r="B18" s="86" t="s">
        <v>4</v>
      </c>
      <c r="C18" s="86" t="s">
        <v>204</v>
      </c>
      <c r="D18" s="86" t="s">
        <v>136</v>
      </c>
      <c r="E18" s="86" t="s">
        <v>194</v>
      </c>
      <c r="F18" s="26"/>
      <c r="G18" s="148" t="s">
        <v>149</v>
      </c>
      <c r="H18" s="148"/>
      <c r="I18" s="148"/>
      <c r="J18" s="148" t="s">
        <v>205</v>
      </c>
      <c r="K18" s="148"/>
      <c r="L18" s="26"/>
      <c r="M18" s="26"/>
    </row>
    <row r="19" customFormat="false" ht="21.75" hidden="false" customHeight="true" outlineLevel="0" collapsed="false">
      <c r="A19" s="16" t="s">
        <v>62</v>
      </c>
      <c r="B19" s="149" t="s">
        <v>58</v>
      </c>
      <c r="C19" s="150" t="n">
        <f aca="false">SUMIF('🛒 Ventas del Día'!D$4:D$107,A19,'🛒 Ventas del Día'!F$4:F$107)</f>
        <v>2</v>
      </c>
      <c r="D19" s="71" t="n">
        <f aca="false">SUMIF('🛒 Ventas del Día'!D$4:D$107,A19,'🛒 Ventas del Día'!G$4:G$107)</f>
        <v>98000</v>
      </c>
      <c r="E19" s="21" t="n">
        <v>0.226530612244898</v>
      </c>
      <c r="F19" s="26"/>
      <c r="G19" s="133" t="s">
        <v>206</v>
      </c>
      <c r="H19" s="133"/>
      <c r="I19" s="133"/>
      <c r="J19" s="151" t="str">
        <f aca="false">INDEX(A8:A15,MATCH(MAX(D8:D15),D8:D15,0))</f>
        <v>Quesos</v>
      </c>
      <c r="K19" s="151"/>
      <c r="L19" s="26"/>
      <c r="M19" s="26"/>
    </row>
    <row r="20" customFormat="false" ht="21.75" hidden="false" customHeight="true" outlineLevel="0" collapsed="false">
      <c r="A20" s="22" t="s">
        <v>64</v>
      </c>
      <c r="B20" s="152" t="s">
        <v>58</v>
      </c>
      <c r="C20" s="153" t="n">
        <f aca="false">SUMIF('🛒 Ventas del Día'!D$4:D$107,A20,'🛒 Ventas del Día'!F$4:F$107)</f>
        <v>9</v>
      </c>
      <c r="D20" s="77" t="n">
        <f aca="false">SUMIF('🛒 Ventas del Día'!D$4:D$107,A20,'🛒 Ventas del Día'!G$4:G$107)</f>
        <v>76950</v>
      </c>
      <c r="E20" s="14" t="n">
        <v>0.261169590643275</v>
      </c>
      <c r="F20" s="26"/>
      <c r="G20" s="137" t="s">
        <v>207</v>
      </c>
      <c r="H20" s="137"/>
      <c r="I20" s="137"/>
      <c r="J20" s="154" t="str">
        <f aca="false">IFERROR(INDEX(A8:A15,MATCH(SMALL(D8:D15,COUNTIF(D8:D15,0)+1),D8:D15,0)),"N/A")</f>
        <v>Huevos</v>
      </c>
      <c r="K20" s="154"/>
      <c r="L20" s="26"/>
      <c r="M20" s="26"/>
    </row>
    <row r="21" customFormat="false" ht="21.75" hidden="false" customHeight="true" outlineLevel="0" collapsed="false">
      <c r="A21" s="16" t="s">
        <v>80</v>
      </c>
      <c r="B21" s="149" t="s">
        <v>58</v>
      </c>
      <c r="C21" s="150" t="n">
        <f aca="false">SUMIF('🛒 Ventas del Día'!D$4:D$107,A21,'🛒 Ventas del Día'!F$4:F$107)</f>
        <v>4</v>
      </c>
      <c r="D21" s="71" t="n">
        <f aca="false">SUMIF('🛒 Ventas del Día'!D$4:D$107,A21,'🛒 Ventas del Día'!G$4:G$107)</f>
        <v>40000</v>
      </c>
      <c r="E21" s="21" t="n">
        <v>0.19</v>
      </c>
      <c r="F21" s="26"/>
      <c r="G21" s="133" t="s">
        <v>208</v>
      </c>
      <c r="H21" s="133"/>
      <c r="I21" s="133"/>
      <c r="J21" s="151" t="str">
        <f aca="false">A19</f>
        <v>Huevo Extra 180u</v>
      </c>
      <c r="K21" s="151"/>
      <c r="L21" s="26"/>
      <c r="M21" s="26"/>
    </row>
    <row r="22" customFormat="false" ht="21.75" hidden="false" customHeight="true" outlineLevel="0" collapsed="false">
      <c r="A22" s="22" t="s">
        <v>75</v>
      </c>
      <c r="B22" s="152" t="s">
        <v>58</v>
      </c>
      <c r="C22" s="153" t="n">
        <f aca="false">SUMIF('🛒 Ventas del Día'!D$4:D$107,A22,'🛒 Ventas del Día'!F$4:F$107)</f>
        <v>5</v>
      </c>
      <c r="D22" s="77" t="n">
        <f aca="false">SUMIF('🛒 Ventas del Día'!D$4:D$107,A22,'🛒 Ventas del Día'!G$4:G$107)</f>
        <v>39000</v>
      </c>
      <c r="E22" s="14" t="n">
        <v>0.254230769230769</v>
      </c>
      <c r="F22" s="26"/>
      <c r="G22" s="137" t="s">
        <v>209</v>
      </c>
      <c r="H22" s="137"/>
      <c r="I22" s="137"/>
      <c r="J22" s="155" t="n">
        <f aca="false">'📊 Resumen Mensual'!E13</f>
        <v>103271.28</v>
      </c>
      <c r="K22" s="155"/>
      <c r="L22" s="26"/>
      <c r="M22" s="26"/>
    </row>
    <row r="23" customFormat="false" ht="21.75" hidden="false" customHeight="true" outlineLevel="0" collapsed="false">
      <c r="A23" s="16" t="s">
        <v>108</v>
      </c>
      <c r="B23" s="149" t="s">
        <v>104</v>
      </c>
      <c r="C23" s="150" t="n">
        <f aca="false">SUMIF('🛒 Ventas del Día'!D$4:D$107,A23,'🛒 Ventas del Día'!F$4:F$107)</f>
        <v>2</v>
      </c>
      <c r="D23" s="71" t="n">
        <f aca="false">SUMIF('🛒 Ventas del Día'!D$4:D$107,A23,'🛒 Ventas del Día'!G$4:G$107)</f>
        <v>13000</v>
      </c>
      <c r="E23" s="21" t="n">
        <v>0.276769230769231</v>
      </c>
      <c r="F23" s="26"/>
      <c r="G23" s="133" t="s">
        <v>210</v>
      </c>
      <c r="H23" s="133"/>
      <c r="I23" s="133"/>
      <c r="J23" s="156" t="n">
        <f aca="false">'📊 Resumen Mensual'!F13</f>
        <v>0.285046308755398</v>
      </c>
      <c r="K23" s="156"/>
      <c r="L23" s="26"/>
      <c r="M23" s="26"/>
    </row>
    <row r="24" customFormat="false" ht="19.5" hidden="false" customHeight="true" outlineLevel="0" collapsed="false">
      <c r="A24" s="22" t="s">
        <v>10</v>
      </c>
      <c r="B24" s="152" t="s">
        <v>11</v>
      </c>
      <c r="C24" s="153" t="n">
        <f aca="false">SUMIF('🛒 Ventas del Día'!D$4:D$107,A24,'🛒 Ventas del Día'!F$4:F$107)</f>
        <v>1</v>
      </c>
      <c r="D24" s="77" t="n">
        <f aca="false">SUMIF('🛒 Ventas del Día'!D$4:D$107,A24,'🛒 Ventas del Día'!G$4:G$107)</f>
        <v>8000</v>
      </c>
      <c r="E24" s="14" t="n">
        <v>0.3875</v>
      </c>
      <c r="F24" s="26"/>
      <c r="G24" s="26"/>
      <c r="H24" s="26"/>
      <c r="I24" s="26"/>
      <c r="J24" s="26"/>
      <c r="K24" s="26"/>
      <c r="L24" s="26"/>
      <c r="M24" s="26"/>
    </row>
    <row r="25" customFormat="false" ht="19.5" hidden="false" customHeight="true" outlineLevel="0" collapsed="false">
      <c r="A25" s="16" t="s">
        <v>113</v>
      </c>
      <c r="B25" s="149" t="s">
        <v>104</v>
      </c>
      <c r="C25" s="150" t="n">
        <f aca="false">SUMIF('🛒 Ventas del Día'!D$4:D$107,A25,'🛒 Ventas del Día'!F$4:F$107)</f>
        <v>1</v>
      </c>
      <c r="D25" s="71" t="n">
        <f aca="false">SUMIF('🛒 Ventas del Día'!D$4:D$107,A25,'🛒 Ventas del Día'!G$4:G$107)</f>
        <v>7500</v>
      </c>
      <c r="E25" s="21" t="n">
        <v>0.360375</v>
      </c>
      <c r="F25" s="26"/>
      <c r="G25" s="26"/>
      <c r="H25" s="26"/>
      <c r="I25" s="26"/>
      <c r="J25" s="26"/>
      <c r="K25" s="26"/>
      <c r="L25" s="26"/>
      <c r="M25" s="26"/>
    </row>
    <row r="26" customFormat="false" ht="19.5" hidden="false" customHeight="true" outlineLevel="0" collapsed="false">
      <c r="A26" s="22" t="s">
        <v>128</v>
      </c>
      <c r="B26" s="152" t="s">
        <v>104</v>
      </c>
      <c r="C26" s="153" t="n">
        <f aca="false">SUMIF('🛒 Ventas del Día'!D$4:D$107,A26,'🛒 Ventas del Día'!F$4:F$107)</f>
        <v>1</v>
      </c>
      <c r="D26" s="77" t="n">
        <f aca="false">SUMIF('🛒 Ventas del Día'!D$4:D$107,A26,'🛒 Ventas del Día'!G$4:G$107)</f>
        <v>7500</v>
      </c>
      <c r="E26" s="14" t="n">
        <v>0</v>
      </c>
      <c r="F26" s="26"/>
      <c r="G26" s="26"/>
      <c r="H26" s="26"/>
      <c r="I26" s="26"/>
      <c r="J26" s="26"/>
      <c r="K26" s="26"/>
      <c r="L26" s="26"/>
      <c r="M26" s="26"/>
    </row>
    <row r="27" customFormat="false" ht="19.5" hidden="false" customHeight="true" outlineLevel="0" collapsed="false">
      <c r="A27" s="16" t="s">
        <v>102</v>
      </c>
      <c r="B27" s="149" t="s">
        <v>95</v>
      </c>
      <c r="C27" s="150" t="n">
        <f aca="false">SUMIF('🛒 Ventas del Día'!D$4:D$107,A27,'🛒 Ventas del Día'!F$4:F$107)</f>
        <v>1</v>
      </c>
      <c r="D27" s="71" t="n">
        <f aca="false">SUMIF('🛒 Ventas del Día'!D$4:D$107,A27,'🛒 Ventas del Día'!G$4:G$107)</f>
        <v>5500</v>
      </c>
      <c r="E27" s="21" t="n">
        <v>0.292545454545455</v>
      </c>
      <c r="F27" s="26"/>
      <c r="G27" s="26"/>
      <c r="H27" s="26"/>
      <c r="I27" s="26"/>
      <c r="J27" s="26"/>
      <c r="K27" s="26"/>
      <c r="L27" s="26"/>
      <c r="M27" s="26"/>
    </row>
    <row r="28" customFormat="false" ht="19.5" hidden="false" customHeight="true" outlineLevel="0" collapsed="false">
      <c r="A28" s="22" t="s">
        <v>101</v>
      </c>
      <c r="B28" s="152" t="s">
        <v>95</v>
      </c>
      <c r="C28" s="153" t="n">
        <f aca="false">SUMIF('🛒 Ventas del Día'!D$4:D$107,A28,'🛒 Ventas del Día'!F$4:F$107)</f>
        <v>1</v>
      </c>
      <c r="D28" s="77" t="n">
        <f aca="false">SUMIF('🛒 Ventas del Día'!D$4:D$107,A28,'🛒 Ventas del Día'!G$4:G$107)</f>
        <v>5500</v>
      </c>
      <c r="E28" s="14" t="n">
        <v>0.303309090909091</v>
      </c>
      <c r="F28" s="26"/>
      <c r="G28" s="26"/>
      <c r="H28" s="26"/>
      <c r="I28" s="26"/>
      <c r="J28" s="26"/>
      <c r="K28" s="26"/>
      <c r="L28" s="26"/>
      <c r="M28" s="26"/>
    </row>
    <row r="29" customFormat="false" ht="7.5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customFormat="false" ht="25.5" hidden="false" customHeight="true" outlineLevel="0" collapsed="false">
      <c r="A30" s="56" t="s">
        <v>211</v>
      </c>
      <c r="B30" s="56"/>
      <c r="C30" s="56"/>
      <c r="D30" s="56"/>
      <c r="E30" s="56"/>
      <c r="F30" s="26"/>
      <c r="G30" s="26"/>
      <c r="H30" s="26"/>
      <c r="I30" s="26"/>
      <c r="J30" s="26"/>
      <c r="K30" s="26"/>
      <c r="L30" s="26"/>
      <c r="M30" s="26"/>
    </row>
    <row r="31" customFormat="false" ht="14.25" hidden="false" customHeight="true" outlineLevel="0" collapsed="false">
      <c r="A31" s="86" t="s">
        <v>149</v>
      </c>
      <c r="B31" s="86" t="s">
        <v>150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customFormat="false" ht="21.75" hidden="false" customHeight="true" outlineLevel="0" collapsed="false">
      <c r="A32" s="61" t="s">
        <v>158</v>
      </c>
      <c r="B32" s="157" t="n">
        <f aca="false">IFERROR(AVERAGEIF('📊 Resumen Mensual'!C17:C46,"&gt;0"),0)</f>
        <v>122265.5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 customFormat="false" ht="21.75" hidden="false" customHeight="true" outlineLevel="0" collapsed="false">
      <c r="A33" s="57" t="s">
        <v>159</v>
      </c>
      <c r="B33" s="158" t="n">
        <f aca="false">IFERROR(AVERAGEIF('📊 Resumen Mensual'!E17:E46,"&gt;0"),0)</f>
        <v>35923.76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customFormat="false" ht="21.75" hidden="false" customHeight="true" outlineLevel="0" collapsed="false">
      <c r="A34" s="61" t="s">
        <v>157</v>
      </c>
      <c r="B34" s="159" t="n">
        <f aca="false">IFERROR(AVERAGEIF('📊 Resumen Mensual'!I17:I46,"&gt;0"),0)</f>
        <v>17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customFormat="false" ht="21.75" hidden="false" customHeight="true" outlineLevel="0" collapsed="false">
      <c r="A35" s="57" t="s">
        <v>212</v>
      </c>
      <c r="B35" s="160" t="n">
        <f aca="false">COUNTIF('📊 Resumen Mensual'!C17:C46,"&gt;0")</f>
        <v>3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customFormat="false" ht="21.75" hidden="false" customHeight="true" outlineLevel="0" collapsed="false">
      <c r="A36" s="61" t="s">
        <v>213</v>
      </c>
      <c r="B36" s="157" t="n">
        <f aca="false">MAX('📊 Resumen Mensual'!C17:C46)</f>
        <v>174629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customFormat="false" ht="14.25" hidden="false" customHeight="tru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customFormat="false" ht="14.25" hidden="false" customHeight="tru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customFormat="false" ht="14.25" hidden="false" customHeight="tru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customFormat="false" ht="14.25" hidden="false" customHeight="tru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customFormat="false" ht="14.25" hidden="false" customHeight="tru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customFormat="false" ht="14.2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customFormat="false" ht="14.2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customFormat="false" ht="14.25" hidden="false" customHeight="tru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customFormat="false" ht="14.25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customFormat="false" ht="14.25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customFormat="false" ht="14.25" hidden="false" customHeight="tru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customFormat="false" ht="14.25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customFormat="false" ht="14.25" hidden="false" customHeight="tru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</sheetData>
  <mergeCells count="40">
    <mergeCell ref="A1:K1"/>
    <mergeCell ref="A3:B3"/>
    <mergeCell ref="C3:D3"/>
    <mergeCell ref="G3:H3"/>
    <mergeCell ref="I3:J3"/>
    <mergeCell ref="A4:B4"/>
    <mergeCell ref="C4:D4"/>
    <mergeCell ref="G4:H4"/>
    <mergeCell ref="I4:J4"/>
    <mergeCell ref="A6:E6"/>
    <mergeCell ref="G6:K6"/>
    <mergeCell ref="G7:I7"/>
    <mergeCell ref="J7:K7"/>
    <mergeCell ref="G8:I8"/>
    <mergeCell ref="J8:K8"/>
    <mergeCell ref="G9:I9"/>
    <mergeCell ref="J9:K9"/>
    <mergeCell ref="G10:I10"/>
    <mergeCell ref="J10:K10"/>
    <mergeCell ref="G12:I12"/>
    <mergeCell ref="J12:K12"/>
    <mergeCell ref="G13:I13"/>
    <mergeCell ref="J13:K13"/>
    <mergeCell ref="G14:I14"/>
    <mergeCell ref="J14:K14"/>
    <mergeCell ref="A17:E17"/>
    <mergeCell ref="G17:K17"/>
    <mergeCell ref="G18:I18"/>
    <mergeCell ref="J18:K18"/>
    <mergeCell ref="G19:I19"/>
    <mergeCell ref="J19:K19"/>
    <mergeCell ref="G20:I20"/>
    <mergeCell ref="J20:K20"/>
    <mergeCell ref="G21:I21"/>
    <mergeCell ref="J21:K21"/>
    <mergeCell ref="G22:I22"/>
    <mergeCell ref="J22:K22"/>
    <mergeCell ref="G23:I23"/>
    <mergeCell ref="J23:K23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55"/>
  </cols>
  <sheetData>
    <row r="1" customFormat="false" ht="37.5" hidden="false" customHeight="true" outlineLevel="0" collapsed="false">
      <c r="A1" s="2" t="s">
        <v>214</v>
      </c>
      <c r="B1" s="2"/>
      <c r="C1" s="2"/>
      <c r="D1" s="2"/>
    </row>
    <row r="3" customFormat="false" ht="24" hidden="false" customHeight="true" outlineLevel="0" collapsed="false">
      <c r="B3" s="161" t="s">
        <v>215</v>
      </c>
      <c r="C3" s="161"/>
    </row>
    <row r="4" customFormat="false" ht="18" hidden="false" customHeight="true" outlineLevel="0" collapsed="false">
      <c r="B4" s="162" t="s">
        <v>216</v>
      </c>
      <c r="C4" s="162"/>
    </row>
    <row r="5" customFormat="false" ht="18" hidden="false" customHeight="true" outlineLevel="0" collapsed="false">
      <c r="B5" s="162" t="s">
        <v>217</v>
      </c>
      <c r="C5" s="162"/>
    </row>
    <row r="6" customFormat="false" ht="24" hidden="false" customHeight="true" outlineLevel="0" collapsed="false">
      <c r="B6" s="163" t="s">
        <v>218</v>
      </c>
      <c r="C6" s="163"/>
    </row>
    <row r="7" customFormat="false" ht="18" hidden="false" customHeight="true" outlineLevel="0" collapsed="false">
      <c r="B7" s="162" t="s">
        <v>219</v>
      </c>
      <c r="C7" s="162"/>
    </row>
    <row r="8" customFormat="false" ht="18" hidden="false" customHeight="true" outlineLevel="0" collapsed="false">
      <c r="B8" s="162" t="s">
        <v>220</v>
      </c>
      <c r="C8" s="162"/>
    </row>
    <row r="9" customFormat="false" ht="24" hidden="false" customHeight="true" outlineLevel="0" collapsed="false">
      <c r="B9" s="164" t="s">
        <v>221</v>
      </c>
      <c r="C9" s="164"/>
    </row>
    <row r="10" customFormat="false" ht="18" hidden="false" customHeight="true" outlineLevel="0" collapsed="false">
      <c r="B10" s="162" t="s">
        <v>222</v>
      </c>
      <c r="C10" s="162"/>
    </row>
    <row r="11" customFormat="false" ht="18" hidden="false" customHeight="true" outlineLevel="0" collapsed="false">
      <c r="B11" s="162" t="s">
        <v>223</v>
      </c>
      <c r="C11" s="162"/>
    </row>
    <row r="12" customFormat="false" ht="18" hidden="false" customHeight="true" outlineLevel="0" collapsed="false">
      <c r="B12" s="162" t="s">
        <v>224</v>
      </c>
      <c r="C12" s="162"/>
    </row>
    <row r="13" customFormat="false" ht="24" hidden="false" customHeight="true" outlineLevel="0" collapsed="false">
      <c r="B13" s="165" t="s">
        <v>225</v>
      </c>
      <c r="C13" s="165"/>
    </row>
    <row r="14" customFormat="false" ht="18" hidden="false" customHeight="true" outlineLevel="0" collapsed="false">
      <c r="B14" s="162" t="s">
        <v>226</v>
      </c>
      <c r="C14" s="162"/>
    </row>
    <row r="15" customFormat="false" ht="18" hidden="false" customHeight="true" outlineLevel="0" collapsed="false">
      <c r="B15" s="162" t="s">
        <v>227</v>
      </c>
      <c r="C15" s="162"/>
    </row>
    <row r="16" customFormat="false" ht="24" hidden="false" customHeight="true" outlineLevel="0" collapsed="false">
      <c r="B16" s="166" t="s">
        <v>228</v>
      </c>
      <c r="C16" s="166"/>
    </row>
    <row r="17" customFormat="false" ht="18" hidden="false" customHeight="true" outlineLevel="0" collapsed="false">
      <c r="B17" s="162" t="s">
        <v>229</v>
      </c>
      <c r="C17" s="162"/>
    </row>
    <row r="18" customFormat="false" ht="18" hidden="false" customHeight="true" outlineLevel="0" collapsed="false">
      <c r="B18" s="162" t="s">
        <v>230</v>
      </c>
      <c r="C18" s="162"/>
    </row>
    <row r="19" customFormat="false" ht="18" hidden="false" customHeight="true" outlineLevel="0" collapsed="false">
      <c r="B19" s="162" t="s">
        <v>231</v>
      </c>
      <c r="C19" s="162"/>
    </row>
    <row r="20" customFormat="false" ht="24" hidden="false" customHeight="true" outlineLevel="0" collapsed="false">
      <c r="B20" s="167" t="s">
        <v>232</v>
      </c>
      <c r="C20" s="167"/>
    </row>
    <row r="21" customFormat="false" ht="18" hidden="false" customHeight="true" outlineLevel="0" collapsed="false">
      <c r="B21" s="162" t="s">
        <v>233</v>
      </c>
      <c r="C21" s="162"/>
    </row>
    <row r="22" customFormat="false" ht="18" hidden="false" customHeight="true" outlineLevel="0" collapsed="false">
      <c r="B22" s="162" t="s">
        <v>234</v>
      </c>
      <c r="C22" s="162"/>
    </row>
    <row r="23" customFormat="false" ht="18" hidden="false" customHeight="true" outlineLevel="0" collapsed="false">
      <c r="B23" s="162" t="s">
        <v>235</v>
      </c>
      <c r="C23" s="162"/>
    </row>
    <row r="24" customFormat="false" ht="18" hidden="false" customHeight="true" outlineLevel="0" collapsed="false">
      <c r="B24" s="162" t="s">
        <v>236</v>
      </c>
      <c r="C24" s="162"/>
    </row>
    <row r="25" customFormat="false" ht="18" hidden="false" customHeight="true" outlineLevel="0" collapsed="false">
      <c r="B25" s="162" t="s">
        <v>237</v>
      </c>
      <c r="C25" s="162"/>
    </row>
  </sheetData>
  <mergeCells count="24">
    <mergeCell ref="A1:D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7.56"/>
    <col collapsed="false" customWidth="true" hidden="false" outlineLevel="0" max="3" min="2" style="1" width="21.56"/>
    <col collapsed="false" customWidth="true" hidden="false" outlineLevel="0" max="4" min="4" style="1" width="20"/>
    <col collapsed="false" customWidth="true" hidden="false" outlineLevel="0" max="5" min="5" style="1" width="20.44"/>
    <col collapsed="false" customWidth="true" hidden="false" outlineLevel="0" max="6" min="6" style="1" width="24.21"/>
    <col collapsed="false" customWidth="true" hidden="false" outlineLevel="0" max="8" min="7" style="1" width="18.79"/>
    <col collapsed="false" customWidth="true" hidden="false" outlineLevel="0" max="9" min="9" style="1" width="20.78"/>
  </cols>
  <sheetData>
    <row r="1" customFormat="false" ht="15" hidden="false" customHeight="true" outlineLevel="0" collapsed="false">
      <c r="A1" s="168" t="s">
        <v>11</v>
      </c>
      <c r="B1" s="168" t="s">
        <v>24</v>
      </c>
      <c r="C1" s="168" t="s">
        <v>238</v>
      </c>
      <c r="D1" s="168" t="s">
        <v>58</v>
      </c>
      <c r="E1" s="168" t="s">
        <v>83</v>
      </c>
      <c r="F1" s="168" t="s">
        <v>87</v>
      </c>
      <c r="G1" s="168" t="s">
        <v>95</v>
      </c>
      <c r="H1" s="168" t="s">
        <v>104</v>
      </c>
      <c r="I1" s="169"/>
    </row>
    <row r="2" customFormat="false" ht="15" hidden="false" customHeight="true" outlineLevel="0" collapsed="false">
      <c r="A2" s="1" t="s">
        <v>10</v>
      </c>
      <c r="B2" s="1" t="s">
        <v>23</v>
      </c>
      <c r="C2" s="1" t="s">
        <v>31</v>
      </c>
      <c r="D2" s="1" t="s">
        <v>57</v>
      </c>
      <c r="E2" s="1" t="s">
        <v>82</v>
      </c>
      <c r="F2" s="1" t="s">
        <v>86</v>
      </c>
      <c r="G2" s="1" t="s">
        <v>94</v>
      </c>
      <c r="H2" s="1" t="s">
        <v>103</v>
      </c>
    </row>
    <row r="3" customFormat="false" ht="15" hidden="false" customHeight="true" outlineLevel="0" collapsed="false">
      <c r="A3" s="1" t="s">
        <v>13</v>
      </c>
      <c r="B3" s="1" t="s">
        <v>26</v>
      </c>
      <c r="C3" s="1" t="s">
        <v>34</v>
      </c>
      <c r="D3" s="1" t="s">
        <v>60</v>
      </c>
      <c r="E3" s="1" t="s">
        <v>84</v>
      </c>
      <c r="F3" s="1" t="s">
        <v>88</v>
      </c>
      <c r="G3" s="1" t="s">
        <v>97</v>
      </c>
      <c r="H3" s="1" t="s">
        <v>105</v>
      </c>
    </row>
    <row r="4" customFormat="false" ht="15" hidden="false" customHeight="true" outlineLevel="0" collapsed="false">
      <c r="A4" s="1" t="s">
        <v>15</v>
      </c>
      <c r="B4" s="1" t="s">
        <v>27</v>
      </c>
      <c r="C4" s="1" t="s">
        <v>35</v>
      </c>
      <c r="D4" s="1" t="s">
        <v>62</v>
      </c>
      <c r="E4" s="1" t="s">
        <v>85</v>
      </c>
      <c r="F4" s="1" t="s">
        <v>89</v>
      </c>
      <c r="G4" s="1" t="s">
        <v>99</v>
      </c>
      <c r="H4" s="1" t="s">
        <v>106</v>
      </c>
    </row>
    <row r="5" customFormat="false" ht="15" hidden="false" customHeight="true" outlineLevel="0" collapsed="false">
      <c r="A5" s="1" t="s">
        <v>16</v>
      </c>
      <c r="B5" s="1" t="s">
        <v>28</v>
      </c>
      <c r="C5" s="1" t="s">
        <v>36</v>
      </c>
      <c r="D5" s="1" t="s">
        <v>64</v>
      </c>
      <c r="F5" s="1" t="s">
        <v>90</v>
      </c>
      <c r="G5" s="1" t="s">
        <v>100</v>
      </c>
      <c r="H5" s="1" t="s">
        <v>108</v>
      </c>
    </row>
    <row r="6" customFormat="false" ht="15" hidden="false" customHeight="true" outlineLevel="0" collapsed="false">
      <c r="A6" s="1" t="s">
        <v>17</v>
      </c>
      <c r="B6" s="1" t="s">
        <v>29</v>
      </c>
      <c r="C6" s="1" t="s">
        <v>37</v>
      </c>
      <c r="D6" s="1" t="s">
        <v>66</v>
      </c>
      <c r="F6" s="1" t="s">
        <v>91</v>
      </c>
      <c r="G6" s="1" t="s">
        <v>101</v>
      </c>
      <c r="H6" s="1" t="s">
        <v>110</v>
      </c>
    </row>
    <row r="7" customFormat="false" ht="15" hidden="false" customHeight="true" outlineLevel="0" collapsed="false">
      <c r="A7" s="1" t="s">
        <v>18</v>
      </c>
      <c r="B7" s="1" t="s">
        <v>30</v>
      </c>
      <c r="C7" s="1" t="s">
        <v>38</v>
      </c>
      <c r="D7" s="1" t="s">
        <v>68</v>
      </c>
      <c r="F7" s="1" t="s">
        <v>92</v>
      </c>
      <c r="G7" s="1" t="s">
        <v>102</v>
      </c>
      <c r="H7" s="1" t="s">
        <v>111</v>
      </c>
    </row>
    <row r="8" customFormat="false" ht="15" hidden="false" customHeight="true" outlineLevel="0" collapsed="false">
      <c r="A8" s="1" t="s">
        <v>20</v>
      </c>
      <c r="C8" s="1" t="s">
        <v>39</v>
      </c>
      <c r="D8" s="1" t="s">
        <v>70</v>
      </c>
      <c r="F8" s="1" t="s">
        <v>93</v>
      </c>
      <c r="H8" s="1" t="s">
        <v>112</v>
      </c>
    </row>
    <row r="9" customFormat="false" ht="15" hidden="false" customHeight="true" outlineLevel="0" collapsed="false">
      <c r="A9" s="1" t="s">
        <v>21</v>
      </c>
      <c r="C9" s="1" t="s">
        <v>40</v>
      </c>
      <c r="D9" s="1" t="s">
        <v>72</v>
      </c>
      <c r="H9" s="1" t="s">
        <v>113</v>
      </c>
    </row>
    <row r="10" customFormat="false" ht="15" hidden="false" customHeight="true" outlineLevel="0" collapsed="false">
      <c r="A10" s="1" t="s">
        <v>22</v>
      </c>
      <c r="C10" s="1" t="s">
        <v>41</v>
      </c>
      <c r="D10" s="1" t="s">
        <v>73</v>
      </c>
      <c r="H10" s="1" t="s">
        <v>114</v>
      </c>
    </row>
    <row r="11" customFormat="false" ht="15" hidden="false" customHeight="true" outlineLevel="0" collapsed="false">
      <c r="C11" s="1" t="s">
        <v>42</v>
      </c>
      <c r="D11" s="1" t="s">
        <v>74</v>
      </c>
    </row>
    <row r="12" customFormat="false" ht="15" hidden="false" customHeight="true" outlineLevel="0" collapsed="false">
      <c r="C12" s="1" t="s">
        <v>43</v>
      </c>
      <c r="D12" s="1" t="s">
        <v>75</v>
      </c>
    </row>
    <row r="13" customFormat="false" ht="15" hidden="false" customHeight="true" outlineLevel="0" collapsed="false">
      <c r="C13" s="1" t="s">
        <v>44</v>
      </c>
      <c r="D13" s="1" t="s">
        <v>76</v>
      </c>
    </row>
    <row r="14" customFormat="false" ht="15" hidden="false" customHeight="true" outlineLevel="0" collapsed="false">
      <c r="C14" s="1" t="s">
        <v>45</v>
      </c>
      <c r="D14" s="1" t="s">
        <v>77</v>
      </c>
    </row>
    <row r="15" customFormat="false" ht="15" hidden="false" customHeight="true" outlineLevel="0" collapsed="false">
      <c r="C15" s="1" t="s">
        <v>46</v>
      </c>
      <c r="D15" s="1" t="s">
        <v>78</v>
      </c>
    </row>
    <row r="16" customFormat="false" ht="15" hidden="false" customHeight="true" outlineLevel="0" collapsed="false">
      <c r="C16" s="1" t="s">
        <v>47</v>
      </c>
      <c r="D16" s="1" t="s">
        <v>79</v>
      </c>
    </row>
    <row r="17" customFormat="false" ht="15" hidden="false" customHeight="true" outlineLevel="0" collapsed="false">
      <c r="C17" s="1" t="s">
        <v>48</v>
      </c>
      <c r="D17" s="1" t="s">
        <v>80</v>
      </c>
    </row>
    <row r="18" customFormat="false" ht="15" hidden="false" customHeight="true" outlineLevel="0" collapsed="false">
      <c r="C18" s="1" t="s">
        <v>49</v>
      </c>
      <c r="D18" s="1" t="s">
        <v>81</v>
      </c>
    </row>
    <row r="19" customFormat="false" ht="15" hidden="false" customHeight="true" outlineLevel="0" collapsed="false">
      <c r="C19" s="1" t="s">
        <v>50</v>
      </c>
    </row>
    <row r="20" customFormat="false" ht="15" hidden="false" customHeight="true" outlineLevel="0" collapsed="false">
      <c r="C20" s="1" t="s">
        <v>51</v>
      </c>
    </row>
    <row r="21" customFormat="false" ht="15" hidden="false" customHeight="true" outlineLevel="0" collapsed="false">
      <c r="C21" s="1" t="s">
        <v>52</v>
      </c>
    </row>
    <row r="22" customFormat="false" ht="15" hidden="false" customHeight="true" outlineLevel="0" collapsed="false">
      <c r="C22" s="1" t="s">
        <v>53</v>
      </c>
    </row>
    <row r="23" customFormat="false" ht="15" hidden="false" customHeight="true" outlineLevel="0" collapsed="false">
      <c r="C23" s="1" t="s">
        <v>54</v>
      </c>
    </row>
    <row r="24" customFormat="false" ht="15" hidden="false" customHeight="true" outlineLevel="0" collapsed="false">
      <c r="C24" s="1" t="s">
        <v>55</v>
      </c>
    </row>
    <row r="25" customFormat="false" ht="15" hidden="false" customHeight="true" outlineLevel="0" collapsed="false">
      <c r="C25" s="1" t="s">
        <v>56</v>
      </c>
    </row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2026-06-03T19:47:23Z</dcterms:created>
  <dc:creator>openpyxl</dc:creator>
  <dc:description/>
  <dc:language>en-US</dc:language>
  <cp:lastModifiedBy>Lukas Garcia Santi</cp:lastModifiedBy>
  <dcterms:modified xsi:type="dcterms:W3CDTF">2026-06-06T16:17:42Z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